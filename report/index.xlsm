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9965" windowHeight="10590"/>
  </bookViews>
  <sheets>
    <sheet name="Wind-siteE" sheetId="4" r:id="rId1"/>
    <sheet name="Wind-siteF" sheetId="6" r:id="rId2"/>
    <sheet name="Wave height-siteE" sheetId="5" r:id="rId3"/>
    <sheet name="Wave height-siteF" sheetId="8" r:id="rId4"/>
    <sheet name="Wind" sheetId="1" r:id="rId5"/>
    <sheet name="Wave height" sheetId="2" r:id="rId6"/>
  </sheets>
  <calcPr calcId="145621"/>
</workbook>
</file>

<file path=xl/calcChain.xml><?xml version="1.0" encoding="utf-8"?>
<calcChain xmlns="http://schemas.openxmlformats.org/spreadsheetml/2006/main">
  <c r="D5" i="6" l="1"/>
  <c r="AB6" i="6" l="1"/>
  <c r="AB7" i="6"/>
  <c r="AB8" i="6"/>
  <c r="AB9" i="6"/>
  <c r="AB10" i="6"/>
  <c r="AB11" i="6"/>
  <c r="AB12" i="6"/>
  <c r="AB13" i="6"/>
  <c r="AB14" i="6"/>
  <c r="AB15" i="6"/>
  <c r="AB16" i="6"/>
  <c r="AB17" i="6"/>
  <c r="AB5" i="6"/>
  <c r="R7" i="8" l="1"/>
  <c r="R8" i="8" s="1"/>
  <c r="R9" i="8" s="1"/>
  <c r="R10" i="8" s="1"/>
  <c r="R11" i="8" s="1"/>
  <c r="R12" i="8" s="1"/>
  <c r="R13" i="8" s="1"/>
  <c r="R14" i="8" s="1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P7" i="8"/>
  <c r="P8" i="8" s="1"/>
  <c r="P9" i="8" s="1"/>
  <c r="P10" i="8" s="1"/>
  <c r="P11" i="8" s="1"/>
  <c r="P12" i="8" s="1"/>
  <c r="P13" i="8" s="1"/>
  <c r="P14" i="8" s="1"/>
  <c r="P15" i="8" s="1"/>
  <c r="P16" i="8" s="1"/>
  <c r="P17" i="8" s="1"/>
  <c r="P18" i="8" s="1"/>
  <c r="P19" i="8" s="1"/>
  <c r="P20" i="8" s="1"/>
  <c r="P21" i="8" s="1"/>
  <c r="P22" i="8" s="1"/>
  <c r="P23" i="8" s="1"/>
  <c r="P24" i="8" s="1"/>
  <c r="P25" i="8" s="1"/>
  <c r="P26" i="8" s="1"/>
  <c r="P27" i="8" s="1"/>
  <c r="P28" i="8" s="1"/>
  <c r="P29" i="8" s="1"/>
  <c r="P30" i="8" s="1"/>
  <c r="R6" i="8"/>
  <c r="P6" i="8"/>
  <c r="N6" i="8"/>
  <c r="N7" i="8" s="1"/>
  <c r="N8" i="8" s="1"/>
  <c r="N9" i="8" s="1"/>
  <c r="N10" i="8" s="1"/>
  <c r="N11" i="8" s="1"/>
  <c r="N12" i="8" s="1"/>
  <c r="N13" i="8" s="1"/>
  <c r="N14" i="8" s="1"/>
  <c r="N15" i="8" s="1"/>
  <c r="N16" i="8" s="1"/>
  <c r="N17" i="8" s="1"/>
  <c r="N18" i="8" s="1"/>
  <c r="N19" i="8" s="1"/>
  <c r="N20" i="8" s="1"/>
  <c r="N21" i="8" s="1"/>
  <c r="N22" i="8" s="1"/>
  <c r="N23" i="8" s="1"/>
  <c r="N24" i="8" s="1"/>
  <c r="N25" i="8" s="1"/>
  <c r="N26" i="8" s="1"/>
  <c r="N27" i="8" s="1"/>
  <c r="N28" i="8" s="1"/>
  <c r="N29" i="8" s="1"/>
  <c r="N30" i="8" s="1"/>
  <c r="L6" i="8"/>
  <c r="L7" i="8" s="1"/>
  <c r="L8" i="8" s="1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L24" i="8" s="1"/>
  <c r="L25" i="8" s="1"/>
  <c r="L26" i="8" s="1"/>
  <c r="L27" i="8" s="1"/>
  <c r="L28" i="8" s="1"/>
  <c r="L29" i="8" s="1"/>
  <c r="L30" i="8" s="1"/>
  <c r="T5" i="8"/>
  <c r="T6" i="8" s="1"/>
  <c r="T7" i="8" s="1"/>
  <c r="T8" i="8" s="1"/>
  <c r="T9" i="8" s="1"/>
  <c r="T10" i="8" s="1"/>
  <c r="T11" i="8" s="1"/>
  <c r="T12" i="8" s="1"/>
  <c r="T13" i="8" s="1"/>
  <c r="T14" i="8" s="1"/>
  <c r="T15" i="8" s="1"/>
  <c r="T16" i="8" s="1"/>
  <c r="T17" i="8" s="1"/>
  <c r="T18" i="8" s="1"/>
  <c r="T19" i="8" s="1"/>
  <c r="T20" i="8" s="1"/>
  <c r="T21" i="8" s="1"/>
  <c r="T22" i="8" s="1"/>
  <c r="T23" i="8" s="1"/>
  <c r="T24" i="8" s="1"/>
  <c r="T25" i="8" s="1"/>
  <c r="T26" i="8" s="1"/>
  <c r="T27" i="8" s="1"/>
  <c r="T28" i="8" s="1"/>
  <c r="T29" i="8" s="1"/>
  <c r="T30" i="8" s="1"/>
  <c r="R5" i="8"/>
  <c r="P5" i="8"/>
  <c r="N5" i="8"/>
  <c r="L5" i="8"/>
  <c r="M3" i="8"/>
  <c r="O3" i="8" s="1"/>
  <c r="Q3" i="8" s="1"/>
  <c r="S3" i="8" s="1"/>
  <c r="H2" i="8"/>
  <c r="G2" i="8"/>
  <c r="F2" i="8"/>
  <c r="E2" i="8"/>
  <c r="D2" i="8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7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7" i="5"/>
  <c r="H2" i="5"/>
  <c r="G2" i="5"/>
  <c r="F2" i="5"/>
  <c r="E2" i="5"/>
  <c r="D2" i="5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5" i="4"/>
  <c r="E2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5" i="4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K37" i="6" a="1"/>
  <c r="K37" i="6" s="1"/>
  <c r="K38" i="6"/>
  <c r="V6" i="6"/>
  <c r="W6" i="6" s="1"/>
  <c r="V7" i="6"/>
  <c r="V8" i="6"/>
  <c r="V9" i="6"/>
  <c r="W9" i="6" s="1"/>
  <c r="V10" i="6"/>
  <c r="W10" i="6" s="1"/>
  <c r="V11" i="6"/>
  <c r="V12" i="6"/>
  <c r="V13" i="6"/>
  <c r="V14" i="6"/>
  <c r="W14" i="6" s="1"/>
  <c r="V15" i="6"/>
  <c r="V16" i="6"/>
  <c r="V17" i="6"/>
  <c r="W17" i="6" s="1"/>
  <c r="V18" i="6"/>
  <c r="W18" i="6" s="1"/>
  <c r="V19" i="6"/>
  <c r="V20" i="6"/>
  <c r="V21" i="6"/>
  <c r="V22" i="6"/>
  <c r="W22" i="6" s="1"/>
  <c r="V23" i="6"/>
  <c r="V24" i="6"/>
  <c r="V25" i="6"/>
  <c r="W25" i="6" s="1"/>
  <c r="V26" i="6"/>
  <c r="W26" i="6" s="1"/>
  <c r="V5" i="6"/>
  <c r="W7" i="6"/>
  <c r="W8" i="6"/>
  <c r="W12" i="6"/>
  <c r="W13" i="6"/>
  <c r="W15" i="6"/>
  <c r="W16" i="6"/>
  <c r="W19" i="6"/>
  <c r="W20" i="6"/>
  <c r="W21" i="6"/>
  <c r="W23" i="6"/>
  <c r="W24" i="6"/>
  <c r="T5" i="5"/>
  <c r="T6" i="5" s="1"/>
  <c r="T7" i="5" s="1"/>
  <c r="T8" i="5" s="1"/>
  <c r="T9" i="5" s="1"/>
  <c r="T10" i="5" s="1"/>
  <c r="T11" i="5" s="1"/>
  <c r="T12" i="5" s="1"/>
  <c r="T13" i="5" s="1"/>
  <c r="T14" i="5" s="1"/>
  <c r="T15" i="5" s="1"/>
  <c r="T16" i="5" s="1"/>
  <c r="T17" i="5" s="1"/>
  <c r="T18" i="5" s="1"/>
  <c r="T19" i="5" s="1"/>
  <c r="T20" i="5" s="1"/>
  <c r="T21" i="5" s="1"/>
  <c r="T22" i="5" s="1"/>
  <c r="T23" i="5" s="1"/>
  <c r="T24" i="5" s="1"/>
  <c r="T25" i="5" s="1"/>
  <c r="T26" i="5" s="1"/>
  <c r="T27" i="5" s="1"/>
  <c r="T28" i="5" s="1"/>
  <c r="T29" i="5" s="1"/>
  <c r="T30" i="5" s="1"/>
  <c r="R5" i="5"/>
  <c r="R6" i="5" s="1"/>
  <c r="R7" i="5" s="1"/>
  <c r="R8" i="5" s="1"/>
  <c r="R9" i="5" s="1"/>
  <c r="R10" i="5" s="1"/>
  <c r="R11" i="5" s="1"/>
  <c r="R12" i="5" s="1"/>
  <c r="R13" i="5" s="1"/>
  <c r="R14" i="5" s="1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P5" i="5"/>
  <c r="P6" i="5" s="1"/>
  <c r="P7" i="5" s="1"/>
  <c r="P8" i="5" s="1"/>
  <c r="P9" i="5" s="1"/>
  <c r="P10" i="5" s="1"/>
  <c r="P11" i="5" s="1"/>
  <c r="P12" i="5" s="1"/>
  <c r="P13" i="5" s="1"/>
  <c r="P14" i="5" s="1"/>
  <c r="P15" i="5" s="1"/>
  <c r="P16" i="5" s="1"/>
  <c r="P17" i="5" s="1"/>
  <c r="P18" i="5" s="1"/>
  <c r="P19" i="5" s="1"/>
  <c r="P20" i="5" s="1"/>
  <c r="P21" i="5" s="1"/>
  <c r="P22" i="5" s="1"/>
  <c r="P23" i="5" s="1"/>
  <c r="P24" i="5" s="1"/>
  <c r="P25" i="5" s="1"/>
  <c r="P26" i="5" s="1"/>
  <c r="P27" i="5" s="1"/>
  <c r="P28" i="5" s="1"/>
  <c r="P29" i="5" s="1"/>
  <c r="P30" i="5" s="1"/>
  <c r="N5" i="5"/>
  <c r="N6" i="5" s="1"/>
  <c r="N7" i="5" s="1"/>
  <c r="N8" i="5" s="1"/>
  <c r="N9" i="5" s="1"/>
  <c r="N10" i="5" s="1"/>
  <c r="N11" i="5" s="1"/>
  <c r="N12" i="5" s="1"/>
  <c r="N13" i="5" s="1"/>
  <c r="N14" i="5" s="1"/>
  <c r="N15" i="5" s="1"/>
  <c r="N16" i="5" s="1"/>
  <c r="N17" i="5" s="1"/>
  <c r="N18" i="5" s="1"/>
  <c r="N19" i="5" s="1"/>
  <c r="N20" i="5" s="1"/>
  <c r="N21" i="5" s="1"/>
  <c r="N22" i="5" s="1"/>
  <c r="N23" i="5" s="1"/>
  <c r="N24" i="5" s="1"/>
  <c r="N25" i="5" s="1"/>
  <c r="N26" i="5" s="1"/>
  <c r="N27" i="5" s="1"/>
  <c r="N28" i="5" s="1"/>
  <c r="N29" i="5" s="1"/>
  <c r="N30" i="5" s="1"/>
  <c r="M3" i="6"/>
  <c r="O3" i="6" s="1"/>
  <c r="Q3" i="6" s="1"/>
  <c r="S3" i="6" s="1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T5" i="6"/>
  <c r="T6" i="6" s="1"/>
  <c r="T7" i="6" s="1"/>
  <c r="T8" i="6" s="1"/>
  <c r="T9" i="6" s="1"/>
  <c r="T10" i="6" s="1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 s="1"/>
  <c r="T27" i="6" s="1"/>
  <c r="T28" i="6" s="1"/>
  <c r="T29" i="6" s="1"/>
  <c r="T30" i="6" s="1"/>
  <c r="T31" i="6" s="1"/>
  <c r="T32" i="6" s="1"/>
  <c r="T33" i="6" s="1"/>
  <c r="T34" i="6" s="1"/>
  <c r="R5" i="6"/>
  <c r="R6" i="6" s="1"/>
  <c r="R7" i="6" s="1"/>
  <c r="R8" i="6" s="1"/>
  <c r="R9" i="6" s="1"/>
  <c r="R10" i="6" s="1"/>
  <c r="R11" i="6" s="1"/>
  <c r="R12" i="6" s="1"/>
  <c r="R13" i="6" s="1"/>
  <c r="R14" i="6" s="1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P5" i="6"/>
  <c r="P6" i="6" s="1"/>
  <c r="P7" i="6" s="1"/>
  <c r="P8" i="6" s="1"/>
  <c r="P9" i="6" s="1"/>
  <c r="P10" i="6" s="1"/>
  <c r="P11" i="6" s="1"/>
  <c r="P12" i="6" s="1"/>
  <c r="P13" i="6" s="1"/>
  <c r="P14" i="6" s="1"/>
  <c r="P15" i="6" s="1"/>
  <c r="P16" i="6" s="1"/>
  <c r="P17" i="6" s="1"/>
  <c r="P18" i="6" s="1"/>
  <c r="P19" i="6" s="1"/>
  <c r="P20" i="6" s="1"/>
  <c r="P21" i="6" s="1"/>
  <c r="P22" i="6" s="1"/>
  <c r="P23" i="6" s="1"/>
  <c r="P24" i="6" s="1"/>
  <c r="P25" i="6" s="1"/>
  <c r="P26" i="6" s="1"/>
  <c r="P27" i="6" s="1"/>
  <c r="P28" i="6" s="1"/>
  <c r="P29" i="6" s="1"/>
  <c r="P30" i="6" s="1"/>
  <c r="P31" i="6" s="1"/>
  <c r="P32" i="6" s="1"/>
  <c r="P33" i="6" s="1"/>
  <c r="P34" i="6" s="1"/>
  <c r="N5" i="6"/>
  <c r="N6" i="6" s="1"/>
  <c r="N7" i="6" s="1"/>
  <c r="N8" i="6" s="1"/>
  <c r="N9" i="6" s="1"/>
  <c r="N10" i="6" s="1"/>
  <c r="N11" i="6" s="1"/>
  <c r="N12" i="6" s="1"/>
  <c r="N13" i="6" s="1"/>
  <c r="N14" i="6" s="1"/>
  <c r="N15" i="6" s="1"/>
  <c r="N16" i="6" s="1"/>
  <c r="N17" i="6" s="1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N33" i="6" s="1"/>
  <c r="N34" i="6" s="1"/>
  <c r="L5" i="6"/>
  <c r="L6" i="6" s="1"/>
  <c r="L7" i="6" s="1"/>
  <c r="L8" i="6" s="1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L24" i="6" s="1"/>
  <c r="L25" i="6" s="1"/>
  <c r="X25" i="6" s="1"/>
  <c r="C5" i="6"/>
  <c r="H2" i="6"/>
  <c r="G2" i="6"/>
  <c r="F2" i="6"/>
  <c r="E2" i="6"/>
  <c r="D2" i="6"/>
  <c r="M3" i="5"/>
  <c r="O3" i="5" s="1"/>
  <c r="Q3" i="5" s="1"/>
  <c r="S3" i="5" s="1"/>
  <c r="L5" i="5"/>
  <c r="L6" i="5" s="1"/>
  <c r="L7" i="5" s="1"/>
  <c r="L8" i="5" s="1"/>
  <c r="L9" i="5" s="1"/>
  <c r="L10" i="5" s="1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H2" i="4"/>
  <c r="G2" i="4"/>
  <c r="F2" i="4"/>
  <c r="E2" i="4"/>
  <c r="D2" i="4"/>
  <c r="T5" i="4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R5" i="4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P5" i="4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N5" i="4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L5" i="4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C5" i="4"/>
  <c r="E17" i="8" l="1"/>
  <c r="E13" i="8"/>
  <c r="E16" i="8"/>
  <c r="E12" i="8"/>
  <c r="E15" i="8"/>
  <c r="E18" i="8"/>
  <c r="E14" i="8"/>
  <c r="E11" i="8"/>
  <c r="F16" i="8"/>
  <c r="F12" i="8"/>
  <c r="F18" i="8"/>
  <c r="F11" i="8"/>
  <c r="F15" i="8"/>
  <c r="F14" i="8"/>
  <c r="F17" i="8"/>
  <c r="F13" i="8"/>
  <c r="G16" i="8"/>
  <c r="G12" i="8"/>
  <c r="G14" i="8"/>
  <c r="G15" i="8"/>
  <c r="G11" i="8"/>
  <c r="G17" i="8"/>
  <c r="G13" i="8"/>
  <c r="G18" i="8"/>
  <c r="H13" i="8"/>
  <c r="H15" i="8"/>
  <c r="H16" i="8"/>
  <c r="H12" i="8"/>
  <c r="H11" i="8"/>
  <c r="H18" i="8"/>
  <c r="H14" i="8"/>
  <c r="H17" i="8"/>
  <c r="D12" i="8"/>
  <c r="D16" i="8"/>
  <c r="D15" i="8"/>
  <c r="D13" i="8"/>
  <c r="D18" i="8"/>
  <c r="D14" i="8"/>
  <c r="D17" i="8"/>
  <c r="D11" i="8"/>
  <c r="X14" i="6"/>
  <c r="X26" i="6"/>
  <c r="X16" i="6"/>
  <c r="X22" i="6"/>
  <c r="X24" i="6"/>
  <c r="Y18" i="6"/>
  <c r="Y8" i="6"/>
  <c r="X18" i="6"/>
  <c r="X8" i="6"/>
  <c r="X20" i="6"/>
  <c r="X11" i="6"/>
  <c r="X10" i="6"/>
  <c r="X21" i="6"/>
  <c r="X12" i="6"/>
  <c r="X5" i="6"/>
  <c r="Y17" i="6"/>
  <c r="Y11" i="6"/>
  <c r="Y26" i="6"/>
  <c r="Y7" i="6"/>
  <c r="X7" i="6"/>
  <c r="X13" i="6"/>
  <c r="X19" i="6"/>
  <c r="Y24" i="6"/>
  <c r="Y21" i="6"/>
  <c r="Y15" i="6"/>
  <c r="Y12" i="6"/>
  <c r="X9" i="6"/>
  <c r="X6" i="6"/>
  <c r="X17" i="6"/>
  <c r="Y13" i="6"/>
  <c r="X15" i="6"/>
  <c r="W11" i="6"/>
  <c r="W5" i="6"/>
  <c r="L26" i="6"/>
  <c r="X5" i="1"/>
  <c r="X6" i="1" s="1"/>
  <c r="X7" i="1" s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D32" i="8" l="1"/>
  <c r="D21" i="8"/>
  <c r="D33" i="8"/>
  <c r="D28" i="8"/>
  <c r="D24" i="8"/>
  <c r="D20" i="8"/>
  <c r="D31" i="8"/>
  <c r="D34" i="8"/>
  <c r="D29" i="8"/>
  <c r="D25" i="8"/>
  <c r="D19" i="8"/>
  <c r="D30" i="8"/>
  <c r="D26" i="8"/>
  <c r="D22" i="8"/>
  <c r="D27" i="8"/>
  <c r="D23" i="8"/>
  <c r="F28" i="8"/>
  <c r="F24" i="8"/>
  <c r="F19" i="8"/>
  <c r="F22" i="8"/>
  <c r="F31" i="8"/>
  <c r="F27" i="8"/>
  <c r="F23" i="8"/>
  <c r="F26" i="8"/>
  <c r="F32" i="8"/>
  <c r="F20" i="8"/>
  <c r="F34" i="8"/>
  <c r="F30" i="8"/>
  <c r="F29" i="8"/>
  <c r="F25" i="8"/>
  <c r="F21" i="8"/>
  <c r="F33" i="8"/>
  <c r="G33" i="8"/>
  <c r="G28" i="8"/>
  <c r="G24" i="8"/>
  <c r="G20" i="8"/>
  <c r="G30" i="8"/>
  <c r="G22" i="8"/>
  <c r="G31" i="8"/>
  <c r="G27" i="8"/>
  <c r="G23" i="8"/>
  <c r="G19" i="8"/>
  <c r="G34" i="8"/>
  <c r="G29" i="8"/>
  <c r="G25" i="8"/>
  <c r="G21" i="8"/>
  <c r="G26" i="8"/>
  <c r="G32" i="8"/>
  <c r="H29" i="8"/>
  <c r="H34" i="8"/>
  <c r="H30" i="8"/>
  <c r="H26" i="8"/>
  <c r="H21" i="8"/>
  <c r="H22" i="8"/>
  <c r="H25" i="8"/>
  <c r="H33" i="8"/>
  <c r="H28" i="8"/>
  <c r="H24" i="8"/>
  <c r="H20" i="8"/>
  <c r="H31" i="8"/>
  <c r="H27" i="8"/>
  <c r="H23" i="8"/>
  <c r="H19" i="8"/>
  <c r="H32" i="8"/>
  <c r="E29" i="8"/>
  <c r="E25" i="8"/>
  <c r="E21" i="8"/>
  <c r="E34" i="8"/>
  <c r="E33" i="8"/>
  <c r="E28" i="8"/>
  <c r="E24" i="8"/>
  <c r="E20" i="8"/>
  <c r="E31" i="8"/>
  <c r="E23" i="8"/>
  <c r="E30" i="8"/>
  <c r="E26" i="8"/>
  <c r="E22" i="8"/>
  <c r="E32" i="8"/>
  <c r="E27" i="8"/>
  <c r="E19" i="8"/>
  <c r="Y9" i="6"/>
  <c r="Y22" i="6"/>
  <c r="Y14" i="6"/>
  <c r="Y20" i="6"/>
  <c r="Y6" i="6"/>
  <c r="Y19" i="6"/>
  <c r="Y16" i="6"/>
  <c r="Y5" i="6"/>
  <c r="Y25" i="6"/>
  <c r="Y10" i="6"/>
  <c r="L27" i="6"/>
  <c r="L28" i="6" s="1"/>
  <c r="L29" i="6" s="1"/>
  <c r="L30" i="6" s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5" i="1"/>
  <c r="E9" i="8" l="1"/>
  <c r="E8" i="8"/>
  <c r="E7" i="8"/>
  <c r="E10" i="8"/>
  <c r="G8" i="8"/>
  <c r="G7" i="8"/>
  <c r="G9" i="8"/>
  <c r="G10" i="8"/>
  <c r="D7" i="8"/>
  <c r="D10" i="8"/>
  <c r="D9" i="8"/>
  <c r="D8" i="8"/>
  <c r="F8" i="8"/>
  <c r="F7" i="8"/>
  <c r="F10" i="8"/>
  <c r="F9" i="8"/>
  <c r="H7" i="8"/>
  <c r="H10" i="8"/>
  <c r="H9" i="8"/>
  <c r="H8" i="8"/>
  <c r="L31" i="6"/>
  <c r="X23" i="6"/>
  <c r="G35" i="8" l="1"/>
  <c r="G36" i="8"/>
  <c r="F36" i="8"/>
  <c r="F35" i="8"/>
  <c r="H36" i="8"/>
  <c r="H35" i="8"/>
  <c r="D35" i="8"/>
  <c r="D36" i="8"/>
  <c r="E35" i="8"/>
  <c r="E36" i="8"/>
  <c r="L32" i="6"/>
  <c r="L33" i="6" s="1"/>
  <c r="L34" i="6" s="1"/>
  <c r="Y23" i="6"/>
</calcChain>
</file>

<file path=xl/sharedStrings.xml><?xml version="1.0" encoding="utf-8"?>
<sst xmlns="http://schemas.openxmlformats.org/spreadsheetml/2006/main" count="794" uniqueCount="72">
  <si>
    <t>DRILLING</t>
  </si>
  <si>
    <t>RUNNING BOP/CASING</t>
  </si>
  <si>
    <t>FIELD SURVIVAL</t>
  </si>
  <si>
    <t>SURVIVAL</t>
  </si>
  <si>
    <t>JETTING/CONDUCTIOR DRIVING</t>
  </si>
  <si>
    <t>TRIPPING</t>
  </si>
  <si>
    <t>BOP RUNNING</t>
  </si>
  <si>
    <t>BOP LANDING</t>
  </si>
  <si>
    <t>CASING RUNNING</t>
  </si>
  <si>
    <t>CASING HANGER LANDING</t>
  </si>
  <si>
    <t>LMRP DISCONNECTION</t>
  </si>
  <si>
    <t>LMRP CONNCETION</t>
  </si>
  <si>
    <t>DRILL STEM TEST</t>
  </si>
  <si>
    <t>XMAS (LAAY-AWAY) RUNNING</t>
  </si>
  <si>
    <t>XMAS (WITHOUT LINES) RUNNING</t>
  </si>
  <si>
    <t>FLEX TUBE OPERATIONS</t>
  </si>
  <si>
    <t>WIRE LINE OPERATIONS</t>
  </si>
  <si>
    <t>TEMPLATE OPERATIONS</t>
  </si>
  <si>
    <t>FORMATION TESTING</t>
  </si>
  <si>
    <t>CRANE OPERATIONS</t>
  </si>
  <si>
    <t>CRANE/BOAT OPERATIONS</t>
  </si>
  <si>
    <t>Wind limit</t>
  </si>
  <si>
    <t>kn</t>
  </si>
  <si>
    <t>m/s</t>
  </si>
  <si>
    <t>Jan</t>
  </si>
  <si>
    <t>Feb</t>
  </si>
  <si>
    <t>March</t>
  </si>
  <si>
    <t xml:space="preserve">April </t>
  </si>
  <si>
    <t xml:space="preserve">May </t>
  </si>
  <si>
    <t>June</t>
  </si>
  <si>
    <t>July</t>
  </si>
  <si>
    <t>August</t>
  </si>
  <si>
    <t>September</t>
  </si>
  <si>
    <t>October</t>
  </si>
  <si>
    <t>November</t>
  </si>
  <si>
    <t>December</t>
  </si>
  <si>
    <t>Wind max (m/s)</t>
  </si>
  <si>
    <t>Limiting Hs</t>
  </si>
  <si>
    <t>m</t>
  </si>
  <si>
    <t>Dir</t>
  </si>
  <si>
    <t>January</t>
  </si>
  <si>
    <t>February</t>
  </si>
  <si>
    <t>April</t>
  </si>
  <si>
    <t>May</t>
  </si>
  <si>
    <t>OK 90%</t>
  </si>
  <si>
    <t>OK 50%</t>
  </si>
  <si>
    <t>OK 100%</t>
  </si>
  <si>
    <t>OK 95%</t>
  </si>
  <si>
    <t>OMV - F</t>
  </si>
  <si>
    <t>OK 70%</t>
  </si>
  <si>
    <t>OK 40%</t>
  </si>
  <si>
    <t>OK 60%</t>
  </si>
  <si>
    <t>OK 30%</t>
  </si>
  <si>
    <t>LMRP CONNECTION</t>
  </si>
  <si>
    <t>MISC. OPERATIONS</t>
  </si>
  <si>
    <t>-&gt; SAFE</t>
  </si>
  <si>
    <t>-&gt; MEDIUM</t>
  </si>
  <si>
    <t xml:space="preserve">Comments: </t>
  </si>
  <si>
    <t>As BOP and Casing Running conditions happen with low frequency during a year, for the areas marked MEDIUM in the table above it is a matter of right timing of the operation</t>
  </si>
  <si>
    <t>-&gt;SAFE</t>
  </si>
  <si>
    <t>&gt;</t>
  </si>
  <si>
    <t>&lt;=</t>
  </si>
  <si>
    <t>Dec-Feb</t>
  </si>
  <si>
    <t>Mar-May</t>
  </si>
  <si>
    <t>Jun-Aug</t>
  </si>
  <si>
    <t>Sep-Nov</t>
  </si>
  <si>
    <t>Annual</t>
  </si>
  <si>
    <t>Hs(m)</t>
  </si>
  <si>
    <t>OMV - E</t>
  </si>
  <si>
    <t>180° Waves 11.5 sec Tp</t>
  </si>
  <si>
    <t>150°(+/- 30°) Waves 11.5 sec Tp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</si>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</sst>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2" fontId="1" fillId="0" borderId="0" xfId="0" applyNumberFormat="1" applyFont="1"/>
    <xf numFmtId="0" fontId="0" fillId="0" borderId="0" xfId="0" applyFont="1"/>
    <xf numFmtId="0" fontId="0" fillId="2" borderId="0" xfId="0" applyFill="1"/>
    <xf numFmtId="0" fontId="0" fillId="2" borderId="0" xfId="0" applyFont="1" applyFill="1"/>
    <xf numFmtId="0" fontId="0" fillId="3" borderId="0" xfId="0" applyFill="1"/>
    <xf numFmtId="49" fontId="0" fillId="0" borderId="0" xfId="0" applyNumberFormat="1"/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Fill="1"/>
    <xf numFmtId="0" fontId="0" fillId="4" borderId="0" xfId="0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/>
    <xf numFmtId="0" fontId="3" fillId="4" borderId="0" xfId="0" applyFont="1" applyFill="1"/>
    <xf numFmtId="164" fontId="3" fillId="0" borderId="0" xfId="0" applyNumberFormat="1" applyFont="1"/>
    <xf numFmtId="0" fontId="3" fillId="0" borderId="0" xfId="0" applyFont="1" applyFill="1"/>
    <xf numFmtId="0" fontId="3" fillId="0" borderId="0" xfId="0" applyFont="1" applyAlignment="1">
      <alignment wrapText="1"/>
    </xf>
    <xf numFmtId="0" fontId="3" fillId="0" borderId="0" xfId="0" applyFont="1" applyAlignme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3"/>
  <sheetViews>
    <sheetView tabSelected="1" zoomScaleNormal="100" workbookViewId="0">
      <selection activeCell="D5" sqref="D5"/>
    </sheetView>
  </sheetViews>
  <sheetFormatPr defaultRowHeight="12.75" x14ac:dyDescent="0.2"/>
  <cols>
    <col min="1" max="1" width="28.28515625" customWidth="1"/>
    <col min="2" max="2" width="9.28515625" bestFit="1" customWidth="1"/>
    <col min="3" max="3" width="6.85546875" customWidth="1"/>
    <col min="10" max="10" width="4.140625" bestFit="1" customWidth="1"/>
    <col min="11" max="12" width="6" bestFit="1" customWidth="1"/>
    <col min="13" max="13" width="5.42578125" customWidth="1"/>
    <col min="14" max="14" width="6.5703125" customWidth="1"/>
    <col min="15" max="15" width="6" customWidth="1"/>
    <col min="16" max="16" width="6.42578125" customWidth="1"/>
    <col min="17" max="19" width="6" bestFit="1" customWidth="1"/>
  </cols>
  <sheetData>
    <row r="1" spans="1:20" x14ac:dyDescent="0.2">
      <c r="D1" s="22" t="s">
        <v>68</v>
      </c>
      <c r="E1" s="22"/>
      <c r="F1" s="22"/>
      <c r="G1" s="22"/>
      <c r="H1" s="22"/>
    </row>
    <row r="2" spans="1:20" x14ac:dyDescent="0.2">
      <c r="D2" s="2" t="str">
        <f>K4</f>
        <v>Annual</v>
      </c>
      <c r="E2" s="2" t="str">
        <f>M4</f>
        <v>Dec-Feb</v>
      </c>
      <c r="F2" s="2" t="str">
        <f>O4</f>
        <v>Mar-May</v>
      </c>
      <c r="G2" s="2" t="str">
        <f>Q4</f>
        <v>Jun-Aug</v>
      </c>
      <c r="H2" s="2" t="str">
        <f>S4</f>
        <v>Sep-Nov</v>
      </c>
    </row>
    <row r="3" spans="1:20" ht="38.25" x14ac:dyDescent="0.2">
      <c r="B3" t="s">
        <v>21</v>
      </c>
      <c r="C3" t="s">
        <v>21</v>
      </c>
      <c r="D3" s="2" t="s">
        <v>36</v>
      </c>
      <c r="E3" s="2" t="s">
        <v>36</v>
      </c>
      <c r="F3" s="2" t="s">
        <v>36</v>
      </c>
      <c r="G3" s="2" t="s">
        <v>36</v>
      </c>
      <c r="H3" s="2" t="s">
        <v>36</v>
      </c>
      <c r="J3" s="12"/>
      <c r="K3" s="12">
        <v>200</v>
      </c>
      <c r="L3" s="12"/>
      <c r="M3" s="12">
        <v>201</v>
      </c>
      <c r="N3" s="12"/>
      <c r="O3" s="12">
        <v>202</v>
      </c>
      <c r="P3" s="12"/>
      <c r="Q3" s="12">
        <v>203</v>
      </c>
      <c r="R3" s="12"/>
      <c r="S3" s="12">
        <v>204</v>
      </c>
      <c r="T3" s="12"/>
    </row>
    <row r="4" spans="1:20" x14ac:dyDescent="0.2">
      <c r="B4" t="s">
        <v>22</v>
      </c>
      <c r="C4" t="s">
        <v>23</v>
      </c>
      <c r="D4" s="1"/>
      <c r="E4" s="1"/>
      <c r="F4" s="1"/>
      <c r="G4" s="1"/>
      <c r="H4" s="1"/>
      <c r="I4" s="1"/>
      <c r="J4" s="12" t="s">
        <v>23</v>
      </c>
      <c r="K4" s="12" t="s">
        <v>66</v>
      </c>
      <c r="L4" s="12"/>
      <c r="M4" s="12" t="s">
        <v>62</v>
      </c>
      <c r="N4" s="12"/>
      <c r="O4" s="12" t="s">
        <v>63</v>
      </c>
      <c r="P4" s="12"/>
      <c r="Q4" s="12" t="s">
        <v>64</v>
      </c>
      <c r="R4" s="12"/>
      <c r="S4" s="12" t="s">
        <v>65</v>
      </c>
      <c r="T4" s="12"/>
    </row>
    <row r="5" spans="1:20" x14ac:dyDescent="0.2">
      <c r="A5" s="1" t="s">
        <v>0</v>
      </c>
      <c r="B5">
        <v>40</v>
      </c>
      <c r="C5" s="3">
        <f>0.5144444*B5</f>
        <v>20.577776</v>
      </c>
      <c r="D5" s="10">
        <f>(($C5-INDEX($J$5:$J$43,MATCH($C5,$J$5:$J$43)))/(INDEX($J$5:$J$43,MATCH($C5,$J$5:$J$43)+1)-INDEX($J$5:$J$43,MATCH($C5,$J$5:$J$43)))*(INDEX($L$5:$L$43,MATCH($C5,$J$5:$J$43)+1)-INDEX($L$5:$L$43,MATCH($C5,$J$5:$J$43)))+INDEX($L$5:$L$43,MATCH($C5,$J$5:$J$43)))/1000</f>
        <v>0.99787777600000005</v>
      </c>
      <c r="E5" s="10">
        <f>(($C5-INDEX($J$5:$J$43,MATCH($C5,$J$5:$J$43)))/(INDEX($J$5:$J$43,MATCH($C5,$J$5:$J$43)+1)-INDEX($J$5:$J$43,MATCH($C5,$J$5:$J$43)))*(INDEX($N$5:$N$43,MATCH($C5,$J$5:$J$43)+1)-INDEX($N$5:$N$43,MATCH($C5,$J$5:$J$43)))+INDEX($N$5:$N$43,MATCH($C5,$J$5:$J$43)))/1000</f>
        <v>0.99856222080000012</v>
      </c>
      <c r="F5" s="10">
        <f>(($C5-INDEX($J$5:$J$43,MATCH($C5,$J$5:$J$43)))/(INDEX($J$5:$J$43,MATCH($C5,$J$5:$J$43)+1)-INDEX($J$5:$J$43,MATCH($C5,$J$5:$J$43)))*(INDEX($P$5:$P$43,MATCH($C5,$J$5:$J$43)+1)-INDEX($P$5:$P$43,MATCH($C5,$J$5:$J$43)))+INDEX($P$5:$P$43,MATCH($C5,$J$5:$J$43)))/1000</f>
        <v>0.99665555199999989</v>
      </c>
      <c r="G5" s="10">
        <f>(($C5-INDEX($J$5:$J$43,MATCH($C5,$J$5:$J$43)))/(INDEX($J$5:$J$43,MATCH($C5,$J$5:$J$43)+1)-INDEX($J$5:$J$43,MATCH($C5,$J$5:$J$43)))*(INDEX($R$5:$R$43,MATCH($C5,$J$5:$J$43)+1)-INDEX($R$5:$R$43,MATCH($C5,$J$5:$J$43)))+INDEX($R$5:$R$43,MATCH($C5,$J$5:$J$43)))/1000</f>
        <v>0.99677777599999995</v>
      </c>
      <c r="H5" s="10">
        <f>(($C5-INDEX($J$5:$J$43,MATCH($C5,$J$5:$J$43)))/(INDEX($J$5:$J$43,MATCH($C5,$J$5:$J$43)+1)-INDEX($J$5:$J$43,MATCH($C5,$J$5:$J$43)))*(INDEX($T$5:$T$43,MATCH($C5,$J$5:$J$43)+1)-INDEX($T$5:$T$43,MATCH($C5,$J$5:$J$43)))+INDEX($T$5:$T$43,MATCH($C5,$J$5:$J$43)))/1000</f>
        <v>0.99961555520000001</v>
      </c>
      <c r="J5" s="12">
        <v>0</v>
      </c>
      <c r="K5" s="12">
        <v>3.7</v>
      </c>
      <c r="L5" s="12">
        <f>K5</f>
        <v>3.7</v>
      </c>
      <c r="M5" s="12">
        <v>5.4</v>
      </c>
      <c r="N5" s="12">
        <f>M5</f>
        <v>5.4</v>
      </c>
      <c r="O5" s="12">
        <v>3.5</v>
      </c>
      <c r="P5" s="12">
        <f>O5</f>
        <v>3.5</v>
      </c>
      <c r="Q5" s="12">
        <v>2.5</v>
      </c>
      <c r="R5" s="12">
        <f>Q5</f>
        <v>2.5</v>
      </c>
      <c r="S5" s="12">
        <v>3.4</v>
      </c>
      <c r="T5" s="12">
        <f>S5</f>
        <v>3.4</v>
      </c>
    </row>
    <row r="6" spans="1:20" x14ac:dyDescent="0.2">
      <c r="A6" t="s">
        <v>5</v>
      </c>
      <c r="B6">
        <v>40</v>
      </c>
      <c r="C6" s="3">
        <f t="shared" ref="C6:C25" si="0">0.5144444*B6</f>
        <v>20.577776</v>
      </c>
      <c r="D6" s="10">
        <f t="shared" ref="D6:D25" si="1">(($C6-INDEX($J$5:$J$43,MATCH($C6,$J$5:$J$43)))/(INDEX($J$5:$J$43,MATCH($C6,$J$5:$J$43)+1)-INDEX($J$5:$J$43,MATCH($C6,$J$5:$J$43)))*(INDEX($L$5:$L$43,MATCH($C6,$J$5:$J$43)+1)-INDEX($L$5:$L$43,MATCH($C6,$J$5:$J$43)))+INDEX($L$5:$L$43,MATCH($C6,$J$5:$J$43)))/1000</f>
        <v>0.99787777600000005</v>
      </c>
      <c r="E6" s="10">
        <f t="shared" ref="E6:E24" si="2">(($C6-INDEX($J$5:$J$43,MATCH($C6,$J$5:$J$43)))/(INDEX($J$5:$J$43,MATCH($C6,$J$5:$J$43)+1)-INDEX($J$5:$J$43,MATCH($C6,$J$5:$J$43)))*(INDEX($N$5:$N$43,MATCH($C6,$J$5:$J$43)+1)-INDEX($N$5:$N$43,MATCH($C6,$J$5:$J$43)))+INDEX($N$5:$N$43,MATCH($C6,$J$5:$J$43)))/1000</f>
        <v>0.99856222080000012</v>
      </c>
      <c r="F6" s="10">
        <f t="shared" ref="F6:F25" si="3">(($C6-INDEX($J$5:$J$43,MATCH($C6,$J$5:$J$43)))/(INDEX($J$5:$J$43,MATCH($C6,$J$5:$J$43)+1)-INDEX($J$5:$J$43,MATCH($C6,$J$5:$J$43)))*(INDEX($P$5:$P$43,MATCH($C6,$J$5:$J$43)+1)-INDEX($P$5:$P$43,MATCH($C6,$J$5:$J$43)))+INDEX($P$5:$P$43,MATCH($C6,$J$5:$J$43)))/1000</f>
        <v>0.99665555199999989</v>
      </c>
      <c r="G6" s="10">
        <f t="shared" ref="G6:G25" si="4">(($C6-INDEX($J$5:$J$43,MATCH($C6,$J$5:$J$43)))/(INDEX($J$5:$J$43,MATCH($C6,$J$5:$J$43)+1)-INDEX($J$5:$J$43,MATCH($C6,$J$5:$J$43)))*(INDEX($R$5:$R$43,MATCH($C6,$J$5:$J$43)+1)-INDEX($R$5:$R$43,MATCH($C6,$J$5:$J$43)))+INDEX($R$5:$R$43,MATCH($C6,$J$5:$J$43)))/1000</f>
        <v>0.99677777599999995</v>
      </c>
      <c r="H6" s="10">
        <f t="shared" ref="H6:H25" si="5">(($C6-INDEX($J$5:$J$43,MATCH($C6,$J$5:$J$43)))/(INDEX($J$5:$J$43,MATCH($C6,$J$5:$J$43)+1)-INDEX($J$5:$J$43,MATCH($C6,$J$5:$J$43)))*(INDEX($T$5:$T$43,MATCH($C6,$J$5:$J$43)+1)-INDEX($T$5:$T$43,MATCH($C6,$J$5:$J$43)))+INDEX($T$5:$T$43,MATCH($C6,$J$5:$J$43)))/1000</f>
        <v>0.99961555520000001</v>
      </c>
      <c r="J6" s="12">
        <v>1</v>
      </c>
      <c r="K6" s="12">
        <v>17.2</v>
      </c>
      <c r="L6" s="12">
        <f>L5+K6</f>
        <v>20.9</v>
      </c>
      <c r="M6" s="12">
        <v>20.9</v>
      </c>
      <c r="N6" s="12">
        <f>N5+M6</f>
        <v>26.299999999999997</v>
      </c>
      <c r="O6" s="12">
        <v>19.7</v>
      </c>
      <c r="P6" s="12">
        <f>P5+O6</f>
        <v>23.2</v>
      </c>
      <c r="Q6" s="12">
        <v>14</v>
      </c>
      <c r="R6" s="12">
        <f>R5+Q6</f>
        <v>16.5</v>
      </c>
      <c r="S6" s="12">
        <v>14.5</v>
      </c>
      <c r="T6" s="12">
        <f>T5+S6</f>
        <v>17.899999999999999</v>
      </c>
    </row>
    <row r="7" spans="1:20" x14ac:dyDescent="0.2">
      <c r="A7" t="s">
        <v>19</v>
      </c>
      <c r="B7">
        <v>35</v>
      </c>
      <c r="C7" s="3">
        <f t="shared" si="0"/>
        <v>18.005554</v>
      </c>
      <c r="D7" s="10">
        <f t="shared" si="1"/>
        <v>0.99281721740000006</v>
      </c>
      <c r="E7" s="10">
        <f t="shared" si="2"/>
        <v>0.99501166340000013</v>
      </c>
      <c r="F7" s="10">
        <f t="shared" si="3"/>
        <v>0.98842443759999998</v>
      </c>
      <c r="G7" s="10">
        <f t="shared" si="4"/>
        <v>0.99121888359999988</v>
      </c>
      <c r="H7" s="10">
        <f t="shared" si="5"/>
        <v>0.9971133296000001</v>
      </c>
      <c r="J7" s="12">
        <v>2</v>
      </c>
      <c r="K7" s="12">
        <v>33.1</v>
      </c>
      <c r="L7" s="12">
        <f t="shared" ref="L7:L43" si="6">L6+K7</f>
        <v>54</v>
      </c>
      <c r="M7" s="12">
        <v>44.1</v>
      </c>
      <c r="N7" s="12">
        <f t="shared" ref="N7:T43" si="7">N6+M7</f>
        <v>70.400000000000006</v>
      </c>
      <c r="O7" s="12">
        <v>32.6</v>
      </c>
      <c r="P7" s="12">
        <f t="shared" si="7"/>
        <v>55.8</v>
      </c>
      <c r="Q7" s="12">
        <v>28.5</v>
      </c>
      <c r="R7" s="12">
        <f t="shared" si="7"/>
        <v>45</v>
      </c>
      <c r="S7" s="12">
        <v>27.8</v>
      </c>
      <c r="T7" s="12">
        <f t="shared" si="7"/>
        <v>45.7</v>
      </c>
    </row>
    <row r="8" spans="1:20" x14ac:dyDescent="0.2">
      <c r="A8" t="s">
        <v>20</v>
      </c>
      <c r="B8">
        <v>30</v>
      </c>
      <c r="C8" s="3">
        <f t="shared" si="0"/>
        <v>15.433332</v>
      </c>
      <c r="D8" s="10">
        <f t="shared" si="1"/>
        <v>0.97494331720000005</v>
      </c>
      <c r="E8" s="10">
        <f t="shared" si="2"/>
        <v>0.97853665239999998</v>
      </c>
      <c r="F8" s="10">
        <f t="shared" si="3"/>
        <v>0.96406331160000003</v>
      </c>
      <c r="G8" s="10">
        <f t="shared" si="4"/>
        <v>0.97316998440000002</v>
      </c>
      <c r="H8" s="10">
        <f t="shared" si="5"/>
        <v>0.98475998720000002</v>
      </c>
      <c r="J8" s="12">
        <v>3</v>
      </c>
      <c r="K8" s="12">
        <v>50.1</v>
      </c>
      <c r="L8" s="12">
        <f t="shared" si="6"/>
        <v>104.1</v>
      </c>
      <c r="M8" s="12">
        <v>59.7</v>
      </c>
      <c r="N8" s="12">
        <f t="shared" si="7"/>
        <v>130.10000000000002</v>
      </c>
      <c r="O8" s="12">
        <v>48.5</v>
      </c>
      <c r="P8" s="12">
        <f t="shared" si="7"/>
        <v>104.3</v>
      </c>
      <c r="Q8" s="12">
        <v>50.5</v>
      </c>
      <c r="R8" s="12">
        <f t="shared" si="7"/>
        <v>95.5</v>
      </c>
      <c r="S8" s="12">
        <v>42.2</v>
      </c>
      <c r="T8" s="12">
        <f t="shared" si="7"/>
        <v>87.9</v>
      </c>
    </row>
    <row r="9" spans="1:20" x14ac:dyDescent="0.2">
      <c r="A9" s="1" t="s">
        <v>1</v>
      </c>
      <c r="B9">
        <v>40</v>
      </c>
      <c r="C9" s="3">
        <f t="shared" si="0"/>
        <v>20.577776</v>
      </c>
      <c r="D9" s="10">
        <f t="shared" si="1"/>
        <v>0.99787777600000005</v>
      </c>
      <c r="E9" s="10">
        <f t="shared" si="2"/>
        <v>0.99856222080000012</v>
      </c>
      <c r="F9" s="10">
        <f t="shared" si="3"/>
        <v>0.99665555199999989</v>
      </c>
      <c r="G9" s="10">
        <f t="shared" si="4"/>
        <v>0.99677777599999995</v>
      </c>
      <c r="H9" s="10">
        <f t="shared" si="5"/>
        <v>0.99961555520000001</v>
      </c>
      <c r="J9" s="12">
        <v>4</v>
      </c>
      <c r="K9" s="12">
        <v>71</v>
      </c>
      <c r="L9" s="12">
        <f t="shared" si="6"/>
        <v>175.1</v>
      </c>
      <c r="M9" s="12">
        <v>89.2</v>
      </c>
      <c r="N9" s="12">
        <f t="shared" si="7"/>
        <v>219.3</v>
      </c>
      <c r="O9" s="12">
        <v>68.8</v>
      </c>
      <c r="P9" s="12">
        <f t="shared" si="7"/>
        <v>173.1</v>
      </c>
      <c r="Q9" s="12">
        <v>66.5</v>
      </c>
      <c r="R9" s="12">
        <f t="shared" si="7"/>
        <v>162</v>
      </c>
      <c r="S9" s="12">
        <v>60.7</v>
      </c>
      <c r="T9" s="12">
        <f t="shared" si="7"/>
        <v>148.60000000000002</v>
      </c>
    </row>
    <row r="10" spans="1:20" x14ac:dyDescent="0.2">
      <c r="A10" t="s">
        <v>4</v>
      </c>
      <c r="B10">
        <v>40</v>
      </c>
      <c r="C10" s="3">
        <f t="shared" si="0"/>
        <v>20.577776</v>
      </c>
      <c r="D10" s="10">
        <f t="shared" si="1"/>
        <v>0.99787777600000005</v>
      </c>
      <c r="E10" s="10">
        <f t="shared" si="2"/>
        <v>0.99856222080000012</v>
      </c>
      <c r="F10" s="10">
        <f t="shared" si="3"/>
        <v>0.99665555199999989</v>
      </c>
      <c r="G10" s="10">
        <f t="shared" si="4"/>
        <v>0.99677777599999995</v>
      </c>
      <c r="H10" s="10">
        <f t="shared" si="5"/>
        <v>0.99961555520000001</v>
      </c>
      <c r="J10" s="12">
        <v>5</v>
      </c>
      <c r="K10" s="12">
        <v>86.8</v>
      </c>
      <c r="L10" s="12">
        <f t="shared" si="6"/>
        <v>261.89999999999998</v>
      </c>
      <c r="M10" s="12">
        <v>99.7</v>
      </c>
      <c r="N10" s="12">
        <f t="shared" si="7"/>
        <v>319</v>
      </c>
      <c r="O10" s="12">
        <v>85.4</v>
      </c>
      <c r="P10" s="12">
        <f t="shared" si="7"/>
        <v>258.5</v>
      </c>
      <c r="Q10" s="12">
        <v>80.7</v>
      </c>
      <c r="R10" s="12">
        <f t="shared" si="7"/>
        <v>242.7</v>
      </c>
      <c r="S10" s="12">
        <v>82.3</v>
      </c>
      <c r="T10" s="12">
        <f t="shared" si="7"/>
        <v>230.90000000000003</v>
      </c>
    </row>
    <row r="11" spans="1:20" x14ac:dyDescent="0.2">
      <c r="A11" t="s">
        <v>6</v>
      </c>
      <c r="B11">
        <v>30</v>
      </c>
      <c r="C11" s="3">
        <f t="shared" si="0"/>
        <v>15.433332</v>
      </c>
      <c r="D11" s="10">
        <f t="shared" si="1"/>
        <v>0.97494331720000005</v>
      </c>
      <c r="E11" s="10">
        <f t="shared" si="2"/>
        <v>0.97853665239999998</v>
      </c>
      <c r="F11" s="10">
        <f t="shared" si="3"/>
        <v>0.96406331160000003</v>
      </c>
      <c r="G11" s="10">
        <f t="shared" si="4"/>
        <v>0.97316998440000002</v>
      </c>
      <c r="H11" s="10">
        <f t="shared" si="5"/>
        <v>0.98475998720000002</v>
      </c>
      <c r="J11" s="12">
        <v>6</v>
      </c>
      <c r="K11" s="12">
        <v>100</v>
      </c>
      <c r="L11" s="12">
        <f t="shared" si="6"/>
        <v>361.9</v>
      </c>
      <c r="M11" s="12">
        <v>103.6</v>
      </c>
      <c r="N11" s="12">
        <f t="shared" si="7"/>
        <v>422.6</v>
      </c>
      <c r="O11" s="12">
        <v>96.6</v>
      </c>
      <c r="P11" s="12">
        <f t="shared" si="7"/>
        <v>355.1</v>
      </c>
      <c r="Q11" s="12">
        <v>96.7</v>
      </c>
      <c r="R11" s="12">
        <f t="shared" si="7"/>
        <v>339.4</v>
      </c>
      <c r="S11" s="12">
        <v>103.5</v>
      </c>
      <c r="T11" s="12">
        <f t="shared" si="7"/>
        <v>334.40000000000003</v>
      </c>
    </row>
    <row r="12" spans="1:20" x14ac:dyDescent="0.2">
      <c r="A12" t="s">
        <v>7</v>
      </c>
      <c r="B12">
        <v>30</v>
      </c>
      <c r="C12" s="3">
        <f t="shared" si="0"/>
        <v>15.433332</v>
      </c>
      <c r="D12" s="10">
        <f t="shared" si="1"/>
        <v>0.97494331720000005</v>
      </c>
      <c r="E12" s="10">
        <f t="shared" si="2"/>
        <v>0.97853665239999998</v>
      </c>
      <c r="F12" s="10">
        <f t="shared" si="3"/>
        <v>0.96406331160000003</v>
      </c>
      <c r="G12" s="10">
        <f t="shared" si="4"/>
        <v>0.97316998440000002</v>
      </c>
      <c r="H12" s="10">
        <f t="shared" si="5"/>
        <v>0.98475998720000002</v>
      </c>
      <c r="J12" s="12">
        <v>7</v>
      </c>
      <c r="K12" s="12">
        <v>102.8</v>
      </c>
      <c r="L12" s="12">
        <f t="shared" si="6"/>
        <v>464.7</v>
      </c>
      <c r="M12" s="12">
        <v>107.6</v>
      </c>
      <c r="N12" s="12">
        <f t="shared" si="7"/>
        <v>530.20000000000005</v>
      </c>
      <c r="O12" s="12">
        <v>100.1</v>
      </c>
      <c r="P12" s="12">
        <f t="shared" si="7"/>
        <v>455.20000000000005</v>
      </c>
      <c r="Q12" s="12">
        <v>95.4</v>
      </c>
      <c r="R12" s="12">
        <f t="shared" si="7"/>
        <v>434.79999999999995</v>
      </c>
      <c r="S12" s="12">
        <v>109</v>
      </c>
      <c r="T12" s="12">
        <f t="shared" si="7"/>
        <v>443.40000000000003</v>
      </c>
    </row>
    <row r="13" spans="1:20" x14ac:dyDescent="0.2">
      <c r="A13" t="s">
        <v>8</v>
      </c>
      <c r="B13">
        <v>30</v>
      </c>
      <c r="C13" s="3">
        <f t="shared" si="0"/>
        <v>15.433332</v>
      </c>
      <c r="D13" s="10">
        <f t="shared" si="1"/>
        <v>0.97494331720000005</v>
      </c>
      <c r="E13" s="10">
        <f t="shared" si="2"/>
        <v>0.97853665239999998</v>
      </c>
      <c r="F13" s="10">
        <f t="shared" si="3"/>
        <v>0.96406331160000003</v>
      </c>
      <c r="G13" s="10">
        <f t="shared" si="4"/>
        <v>0.97316998440000002</v>
      </c>
      <c r="H13" s="10">
        <f t="shared" si="5"/>
        <v>0.98475998720000002</v>
      </c>
      <c r="J13" s="12">
        <v>8</v>
      </c>
      <c r="K13" s="12">
        <v>102.3</v>
      </c>
      <c r="L13" s="12">
        <f t="shared" si="6"/>
        <v>567</v>
      </c>
      <c r="M13" s="12">
        <v>96.7</v>
      </c>
      <c r="N13" s="12">
        <f t="shared" si="7"/>
        <v>626.90000000000009</v>
      </c>
      <c r="O13" s="12">
        <v>105.4</v>
      </c>
      <c r="P13" s="12">
        <f t="shared" si="7"/>
        <v>560.6</v>
      </c>
      <c r="Q13" s="12">
        <v>97.5</v>
      </c>
      <c r="R13" s="12">
        <f t="shared" si="7"/>
        <v>532.29999999999995</v>
      </c>
      <c r="S13" s="12">
        <v>109.7</v>
      </c>
      <c r="T13" s="12">
        <f t="shared" si="7"/>
        <v>553.1</v>
      </c>
    </row>
    <row r="14" spans="1:20" x14ac:dyDescent="0.2">
      <c r="A14" t="s">
        <v>9</v>
      </c>
      <c r="B14">
        <v>40</v>
      </c>
      <c r="C14" s="3">
        <f t="shared" si="0"/>
        <v>20.577776</v>
      </c>
      <c r="D14" s="10">
        <f t="shared" si="1"/>
        <v>0.99787777600000005</v>
      </c>
      <c r="E14" s="10">
        <f t="shared" si="2"/>
        <v>0.99856222080000012</v>
      </c>
      <c r="F14" s="10">
        <f t="shared" si="3"/>
        <v>0.99665555199999989</v>
      </c>
      <c r="G14" s="10">
        <f t="shared" si="4"/>
        <v>0.99677777599999995</v>
      </c>
      <c r="H14" s="10">
        <f t="shared" si="5"/>
        <v>0.99961555520000001</v>
      </c>
      <c r="J14" s="12">
        <v>9</v>
      </c>
      <c r="K14" s="12">
        <v>99.1</v>
      </c>
      <c r="L14" s="12">
        <f t="shared" si="6"/>
        <v>666.1</v>
      </c>
      <c r="M14" s="12">
        <v>92.8</v>
      </c>
      <c r="N14" s="12">
        <f t="shared" si="7"/>
        <v>719.7</v>
      </c>
      <c r="O14" s="12">
        <v>95.4</v>
      </c>
      <c r="P14" s="12">
        <f t="shared" si="7"/>
        <v>656</v>
      </c>
      <c r="Q14" s="12">
        <v>103.6</v>
      </c>
      <c r="R14" s="12">
        <f t="shared" si="7"/>
        <v>635.9</v>
      </c>
      <c r="S14" s="12">
        <v>104.1</v>
      </c>
      <c r="T14" s="12">
        <f t="shared" si="7"/>
        <v>657.2</v>
      </c>
    </row>
    <row r="15" spans="1:20" x14ac:dyDescent="0.2">
      <c r="A15" t="s">
        <v>11</v>
      </c>
      <c r="B15">
        <v>30</v>
      </c>
      <c r="C15" s="3">
        <f t="shared" si="0"/>
        <v>15.433332</v>
      </c>
      <c r="D15" s="10">
        <f t="shared" si="1"/>
        <v>0.97494331720000005</v>
      </c>
      <c r="E15" s="10">
        <f t="shared" si="2"/>
        <v>0.97853665239999998</v>
      </c>
      <c r="F15" s="10">
        <f t="shared" si="3"/>
        <v>0.96406331160000003</v>
      </c>
      <c r="G15" s="10">
        <f t="shared" si="4"/>
        <v>0.97316998440000002</v>
      </c>
      <c r="H15" s="10">
        <f t="shared" si="5"/>
        <v>0.98475998720000002</v>
      </c>
      <c r="J15" s="12">
        <v>10</v>
      </c>
      <c r="K15" s="12">
        <v>87.5</v>
      </c>
      <c r="L15" s="12">
        <f t="shared" si="6"/>
        <v>753.6</v>
      </c>
      <c r="M15" s="12">
        <v>74.400000000000006</v>
      </c>
      <c r="N15" s="12">
        <f t="shared" si="7"/>
        <v>794.1</v>
      </c>
      <c r="O15" s="12">
        <v>86.4</v>
      </c>
      <c r="P15" s="12">
        <f t="shared" si="7"/>
        <v>742.4</v>
      </c>
      <c r="Q15" s="12">
        <v>91.9</v>
      </c>
      <c r="R15" s="12">
        <f t="shared" si="7"/>
        <v>727.8</v>
      </c>
      <c r="S15" s="12">
        <v>96.5</v>
      </c>
      <c r="T15" s="12">
        <f t="shared" si="7"/>
        <v>753.7</v>
      </c>
    </row>
    <row r="16" spans="1:20" x14ac:dyDescent="0.2">
      <c r="A16" t="s">
        <v>12</v>
      </c>
      <c r="B16">
        <v>40</v>
      </c>
      <c r="C16" s="3">
        <f t="shared" si="0"/>
        <v>20.577776</v>
      </c>
      <c r="D16" s="10">
        <f t="shared" si="1"/>
        <v>0.99787777600000005</v>
      </c>
      <c r="E16" s="10">
        <f t="shared" si="2"/>
        <v>0.99856222080000012</v>
      </c>
      <c r="F16" s="10">
        <f t="shared" si="3"/>
        <v>0.99665555199999989</v>
      </c>
      <c r="G16" s="10">
        <f t="shared" si="4"/>
        <v>0.99677777599999995</v>
      </c>
      <c r="H16" s="10">
        <f t="shared" si="5"/>
        <v>0.99961555520000001</v>
      </c>
      <c r="J16" s="12">
        <v>11</v>
      </c>
      <c r="K16" s="12">
        <v>71.900000000000006</v>
      </c>
      <c r="L16" s="12">
        <f t="shared" si="6"/>
        <v>825.5</v>
      </c>
      <c r="M16" s="12">
        <v>55.8</v>
      </c>
      <c r="N16" s="12">
        <f t="shared" si="7"/>
        <v>849.9</v>
      </c>
      <c r="O16" s="12">
        <v>72.599999999999994</v>
      </c>
      <c r="P16" s="12">
        <f t="shared" si="7"/>
        <v>815</v>
      </c>
      <c r="Q16" s="12">
        <v>81.400000000000006</v>
      </c>
      <c r="R16" s="12">
        <f t="shared" si="7"/>
        <v>809.19999999999993</v>
      </c>
      <c r="S16" s="12">
        <v>76.5</v>
      </c>
      <c r="T16" s="12">
        <f t="shared" si="7"/>
        <v>830.2</v>
      </c>
    </row>
    <row r="17" spans="1:20" x14ac:dyDescent="0.2">
      <c r="A17" t="s">
        <v>13</v>
      </c>
      <c r="B17">
        <v>30</v>
      </c>
      <c r="C17" s="3">
        <f t="shared" si="0"/>
        <v>15.433332</v>
      </c>
      <c r="D17" s="10">
        <f t="shared" si="1"/>
        <v>0.97494331720000005</v>
      </c>
      <c r="E17" s="10">
        <f t="shared" si="2"/>
        <v>0.97853665239999998</v>
      </c>
      <c r="F17" s="10">
        <f t="shared" si="3"/>
        <v>0.96406331160000003</v>
      </c>
      <c r="G17" s="10">
        <f t="shared" si="4"/>
        <v>0.97316998440000002</v>
      </c>
      <c r="H17" s="10">
        <f t="shared" si="5"/>
        <v>0.98475998720000002</v>
      </c>
      <c r="J17" s="12">
        <v>12</v>
      </c>
      <c r="K17" s="12">
        <v>56</v>
      </c>
      <c r="L17" s="12">
        <f t="shared" si="6"/>
        <v>881.5</v>
      </c>
      <c r="M17" s="12">
        <v>46.5</v>
      </c>
      <c r="N17" s="12">
        <f t="shared" si="7"/>
        <v>896.4</v>
      </c>
      <c r="O17" s="12">
        <v>54.1</v>
      </c>
      <c r="P17" s="12">
        <f t="shared" si="7"/>
        <v>869.1</v>
      </c>
      <c r="Q17" s="12">
        <v>60.8</v>
      </c>
      <c r="R17" s="12">
        <f t="shared" si="7"/>
        <v>869.99999999999989</v>
      </c>
      <c r="S17" s="12">
        <v>62.1</v>
      </c>
      <c r="T17" s="12">
        <f t="shared" si="7"/>
        <v>892.30000000000007</v>
      </c>
    </row>
    <row r="18" spans="1:20" x14ac:dyDescent="0.2">
      <c r="A18" t="s">
        <v>14</v>
      </c>
      <c r="B18">
        <v>30</v>
      </c>
      <c r="C18" s="3">
        <f t="shared" si="0"/>
        <v>15.433332</v>
      </c>
      <c r="D18" s="10">
        <f t="shared" si="1"/>
        <v>0.97494331720000005</v>
      </c>
      <c r="E18" s="10">
        <f t="shared" si="2"/>
        <v>0.97853665239999998</v>
      </c>
      <c r="F18" s="10">
        <f t="shared" si="3"/>
        <v>0.96406331160000003</v>
      </c>
      <c r="G18" s="10">
        <f t="shared" si="4"/>
        <v>0.97316998440000002</v>
      </c>
      <c r="H18" s="10">
        <f t="shared" si="5"/>
        <v>0.98475998720000002</v>
      </c>
      <c r="J18" s="12">
        <v>13</v>
      </c>
      <c r="K18" s="12">
        <v>42.2</v>
      </c>
      <c r="L18" s="12">
        <f t="shared" si="6"/>
        <v>923.7</v>
      </c>
      <c r="M18" s="12">
        <v>37.4</v>
      </c>
      <c r="N18" s="12">
        <f t="shared" si="7"/>
        <v>933.8</v>
      </c>
      <c r="O18" s="12">
        <v>40</v>
      </c>
      <c r="P18" s="12">
        <f t="shared" si="7"/>
        <v>909.1</v>
      </c>
      <c r="Q18" s="12">
        <v>46.3</v>
      </c>
      <c r="R18" s="12">
        <f t="shared" si="7"/>
        <v>916.29999999999984</v>
      </c>
      <c r="S18" s="12">
        <v>44.7</v>
      </c>
      <c r="T18" s="12">
        <f t="shared" si="7"/>
        <v>937.00000000000011</v>
      </c>
    </row>
    <row r="19" spans="1:20" x14ac:dyDescent="0.2">
      <c r="A19" t="s">
        <v>15</v>
      </c>
      <c r="B19">
        <v>40</v>
      </c>
      <c r="C19" s="3">
        <f t="shared" si="0"/>
        <v>20.577776</v>
      </c>
      <c r="D19" s="10">
        <f t="shared" si="1"/>
        <v>0.99787777600000005</v>
      </c>
      <c r="E19" s="10">
        <f t="shared" si="2"/>
        <v>0.99856222080000012</v>
      </c>
      <c r="F19" s="10">
        <f t="shared" si="3"/>
        <v>0.99665555199999989</v>
      </c>
      <c r="G19" s="10">
        <f t="shared" si="4"/>
        <v>0.99677777599999995</v>
      </c>
      <c r="H19" s="10">
        <f t="shared" si="5"/>
        <v>0.99961555520000001</v>
      </c>
      <c r="J19" s="12">
        <v>14</v>
      </c>
      <c r="K19" s="12">
        <v>28.2</v>
      </c>
      <c r="L19" s="12">
        <f t="shared" si="6"/>
        <v>951.90000000000009</v>
      </c>
      <c r="M19" s="12">
        <v>22.9</v>
      </c>
      <c r="N19" s="12">
        <f t="shared" si="7"/>
        <v>956.69999999999993</v>
      </c>
      <c r="O19" s="12">
        <v>30.5</v>
      </c>
      <c r="P19" s="12">
        <f t="shared" si="7"/>
        <v>939.6</v>
      </c>
      <c r="Q19" s="12">
        <v>31.1</v>
      </c>
      <c r="R19" s="12">
        <f t="shared" si="7"/>
        <v>947.39999999999986</v>
      </c>
      <c r="S19" s="12">
        <v>27.8</v>
      </c>
      <c r="T19" s="12">
        <f t="shared" si="7"/>
        <v>964.80000000000007</v>
      </c>
    </row>
    <row r="20" spans="1:20" x14ac:dyDescent="0.2">
      <c r="A20" t="s">
        <v>16</v>
      </c>
      <c r="B20">
        <v>40</v>
      </c>
      <c r="C20" s="3">
        <f t="shared" si="0"/>
        <v>20.577776</v>
      </c>
      <c r="D20" s="10">
        <f t="shared" si="1"/>
        <v>0.99787777600000005</v>
      </c>
      <c r="E20" s="10">
        <f t="shared" si="2"/>
        <v>0.99856222080000012</v>
      </c>
      <c r="F20" s="10">
        <f t="shared" si="3"/>
        <v>0.99665555199999989</v>
      </c>
      <c r="G20" s="10">
        <f t="shared" si="4"/>
        <v>0.99677777599999995</v>
      </c>
      <c r="H20" s="10">
        <f t="shared" si="5"/>
        <v>0.99961555520000001</v>
      </c>
      <c r="J20" s="12">
        <v>15</v>
      </c>
      <c r="K20" s="12">
        <v>17.8</v>
      </c>
      <c r="L20" s="12">
        <f t="shared" si="6"/>
        <v>969.7</v>
      </c>
      <c r="M20" s="12">
        <v>17.2</v>
      </c>
      <c r="N20" s="12">
        <f t="shared" si="7"/>
        <v>973.9</v>
      </c>
      <c r="O20" s="12">
        <v>17.399999999999999</v>
      </c>
      <c r="P20" s="12">
        <f t="shared" si="7"/>
        <v>957</v>
      </c>
      <c r="Q20" s="12">
        <v>20.7</v>
      </c>
      <c r="R20" s="12">
        <f t="shared" si="7"/>
        <v>968.09999999999991</v>
      </c>
      <c r="S20" s="12">
        <v>15.8</v>
      </c>
      <c r="T20" s="12">
        <f t="shared" si="7"/>
        <v>980.6</v>
      </c>
    </row>
    <row r="21" spans="1:20" x14ac:dyDescent="0.2">
      <c r="A21" t="s">
        <v>17</v>
      </c>
      <c r="B21">
        <v>35</v>
      </c>
      <c r="C21" s="3">
        <f t="shared" si="0"/>
        <v>18.005554</v>
      </c>
      <c r="D21" s="10">
        <f t="shared" si="1"/>
        <v>0.99281721740000006</v>
      </c>
      <c r="E21" s="10">
        <f t="shared" si="2"/>
        <v>0.99501166340000013</v>
      </c>
      <c r="F21" s="10">
        <f t="shared" si="3"/>
        <v>0.98842443759999998</v>
      </c>
      <c r="G21" s="10">
        <f t="shared" si="4"/>
        <v>0.99121888359999988</v>
      </c>
      <c r="H21" s="10">
        <f t="shared" si="5"/>
        <v>0.9971133296000001</v>
      </c>
      <c r="J21" s="12">
        <v>16</v>
      </c>
      <c r="K21" s="12">
        <v>12.1</v>
      </c>
      <c r="L21" s="12">
        <f t="shared" si="6"/>
        <v>981.80000000000007</v>
      </c>
      <c r="M21" s="12">
        <v>10.7</v>
      </c>
      <c r="N21" s="12">
        <f t="shared" si="7"/>
        <v>984.6</v>
      </c>
      <c r="O21" s="12">
        <v>16.3</v>
      </c>
      <c r="P21" s="12">
        <f t="shared" si="7"/>
        <v>973.3</v>
      </c>
      <c r="Q21" s="12">
        <v>11.7</v>
      </c>
      <c r="R21" s="12">
        <f t="shared" si="7"/>
        <v>979.8</v>
      </c>
      <c r="S21" s="12">
        <v>9.6</v>
      </c>
      <c r="T21" s="12">
        <f t="shared" si="7"/>
        <v>990.2</v>
      </c>
    </row>
    <row r="22" spans="1:20" x14ac:dyDescent="0.2">
      <c r="A22" t="s">
        <v>18</v>
      </c>
      <c r="B22">
        <v>40</v>
      </c>
      <c r="C22" s="3">
        <f t="shared" si="0"/>
        <v>20.577776</v>
      </c>
      <c r="D22" s="10">
        <f t="shared" si="1"/>
        <v>0.99787777600000005</v>
      </c>
      <c r="E22" s="10">
        <f t="shared" si="2"/>
        <v>0.99856222080000012</v>
      </c>
      <c r="F22" s="10">
        <f t="shared" si="3"/>
        <v>0.99665555199999989</v>
      </c>
      <c r="G22" s="10">
        <f t="shared" si="4"/>
        <v>0.99677777599999995</v>
      </c>
      <c r="H22" s="10">
        <f t="shared" si="5"/>
        <v>0.99961555520000001</v>
      </c>
      <c r="J22" s="12">
        <v>17</v>
      </c>
      <c r="K22" s="12">
        <v>7.2</v>
      </c>
      <c r="L22" s="12">
        <f t="shared" si="6"/>
        <v>989.00000000000011</v>
      </c>
      <c r="M22" s="12">
        <v>6.7</v>
      </c>
      <c r="N22" s="12">
        <f t="shared" si="7"/>
        <v>991.30000000000007</v>
      </c>
      <c r="O22" s="12">
        <v>8.9</v>
      </c>
      <c r="P22" s="12">
        <f t="shared" si="7"/>
        <v>982.19999999999993</v>
      </c>
      <c r="Q22" s="12">
        <v>8.5</v>
      </c>
      <c r="R22" s="12">
        <f t="shared" si="7"/>
        <v>988.3</v>
      </c>
      <c r="S22" s="12">
        <v>4.5</v>
      </c>
      <c r="T22" s="12">
        <f t="shared" si="7"/>
        <v>994.7</v>
      </c>
    </row>
    <row r="23" spans="1:20" x14ac:dyDescent="0.2">
      <c r="A23" s="1" t="s">
        <v>2</v>
      </c>
      <c r="B23">
        <v>50</v>
      </c>
      <c r="C23" s="3">
        <f t="shared" si="0"/>
        <v>25.72222</v>
      </c>
      <c r="D23" s="10">
        <f t="shared" si="1"/>
        <v>0.99960000000000016</v>
      </c>
      <c r="E23" s="10">
        <f t="shared" si="2"/>
        <v>0.99977222200000004</v>
      </c>
      <c r="F23" s="10">
        <f t="shared" si="3"/>
        <v>0.99950000000000017</v>
      </c>
      <c r="G23" s="10">
        <f t="shared" si="4"/>
        <v>0.99959999999999993</v>
      </c>
      <c r="H23" s="10">
        <f t="shared" si="5"/>
        <v>0.99980000000000002</v>
      </c>
      <c r="J23" s="12">
        <v>18</v>
      </c>
      <c r="K23" s="12">
        <v>3.8</v>
      </c>
      <c r="L23" s="12">
        <f t="shared" si="6"/>
        <v>992.80000000000007</v>
      </c>
      <c r="M23" s="12">
        <v>3.7</v>
      </c>
      <c r="N23" s="12">
        <f t="shared" si="7"/>
        <v>995.00000000000011</v>
      </c>
      <c r="O23" s="12">
        <v>6.2</v>
      </c>
      <c r="P23" s="12">
        <f t="shared" si="7"/>
        <v>988.4</v>
      </c>
      <c r="Q23" s="12">
        <v>2.9</v>
      </c>
      <c r="R23" s="12">
        <f t="shared" si="7"/>
        <v>991.19999999999993</v>
      </c>
      <c r="S23" s="12">
        <v>2.4</v>
      </c>
      <c r="T23" s="12">
        <f t="shared" si="7"/>
        <v>997.1</v>
      </c>
    </row>
    <row r="24" spans="1:20" x14ac:dyDescent="0.2">
      <c r="A24" t="s">
        <v>10</v>
      </c>
      <c r="B24">
        <v>30</v>
      </c>
      <c r="C24" s="3">
        <f t="shared" si="0"/>
        <v>15.433332</v>
      </c>
      <c r="D24" s="10">
        <f t="shared" si="1"/>
        <v>0.97494331720000005</v>
      </c>
      <c r="E24" s="10">
        <f t="shared" si="2"/>
        <v>0.97853665239999998</v>
      </c>
      <c r="F24" s="10">
        <f t="shared" si="3"/>
        <v>0.96406331160000003</v>
      </c>
      <c r="G24" s="10">
        <f t="shared" si="4"/>
        <v>0.97316998440000002</v>
      </c>
      <c r="H24" s="10">
        <f t="shared" si="5"/>
        <v>0.98475998720000002</v>
      </c>
      <c r="J24" s="12">
        <v>19</v>
      </c>
      <c r="K24" s="12">
        <v>3.1</v>
      </c>
      <c r="L24" s="12">
        <f t="shared" si="6"/>
        <v>995.90000000000009</v>
      </c>
      <c r="M24" s="12">
        <v>2.1</v>
      </c>
      <c r="N24" s="12">
        <f t="shared" si="7"/>
        <v>997.10000000000014</v>
      </c>
      <c r="O24" s="12">
        <v>4.4000000000000004</v>
      </c>
      <c r="P24" s="12">
        <f t="shared" si="7"/>
        <v>992.8</v>
      </c>
      <c r="Q24" s="12">
        <v>3.4</v>
      </c>
      <c r="R24" s="12">
        <f t="shared" si="7"/>
        <v>994.59999999999991</v>
      </c>
      <c r="S24" s="12">
        <v>2.4</v>
      </c>
      <c r="T24" s="12">
        <f t="shared" si="7"/>
        <v>999.5</v>
      </c>
    </row>
    <row r="25" spans="1:20" x14ac:dyDescent="0.2">
      <c r="A25" s="1" t="s">
        <v>3</v>
      </c>
      <c r="B25">
        <v>40</v>
      </c>
      <c r="C25" s="3">
        <f t="shared" si="0"/>
        <v>20.577776</v>
      </c>
      <c r="D25" s="10">
        <f t="shared" si="1"/>
        <v>0.99787777600000005</v>
      </c>
      <c r="E25" s="10">
        <f>(($C25-INDEX($J$5:$J$43,MATCH($C25,$J$5:$J$43)))/(INDEX($J$5:$J$43,MATCH($C25,$J$5:$J$43)+1)-INDEX($J$5:$J$43,MATCH($C25,$J$5:$J$43)))*(INDEX($N$5:$N$43,MATCH($C25,$J$5:$J$43)+1)-INDEX($N$5:$N$43,MATCH($C25,$J$5:$J$43)))+INDEX($N$5:$N$43,MATCH($C25,$J$5:$J$43)))/1000</f>
        <v>0.99856222080000012</v>
      </c>
      <c r="F25" s="10">
        <f t="shared" si="3"/>
        <v>0.99665555199999989</v>
      </c>
      <c r="G25" s="10">
        <f t="shared" si="4"/>
        <v>0.99677777599999995</v>
      </c>
      <c r="H25" s="10">
        <f t="shared" si="5"/>
        <v>0.99961555520000001</v>
      </c>
      <c r="J25" s="12">
        <v>20</v>
      </c>
      <c r="K25" s="12">
        <v>1.4</v>
      </c>
      <c r="L25" s="12">
        <f t="shared" si="6"/>
        <v>997.30000000000007</v>
      </c>
      <c r="M25" s="12">
        <v>1</v>
      </c>
      <c r="N25" s="12">
        <f t="shared" si="7"/>
        <v>998.10000000000014</v>
      </c>
      <c r="O25" s="12">
        <v>2.7</v>
      </c>
      <c r="P25" s="12">
        <f t="shared" si="7"/>
        <v>995.5</v>
      </c>
      <c r="Q25" s="12">
        <v>1.6</v>
      </c>
      <c r="R25" s="12">
        <f t="shared" si="7"/>
        <v>996.19999999999993</v>
      </c>
      <c r="S25" s="12">
        <v>0</v>
      </c>
      <c r="T25" s="12">
        <f t="shared" si="7"/>
        <v>999.5</v>
      </c>
    </row>
    <row r="26" spans="1:20" x14ac:dyDescent="0.2">
      <c r="J26" s="12">
        <v>21</v>
      </c>
      <c r="K26" s="12">
        <v>1</v>
      </c>
      <c r="L26" s="12">
        <f t="shared" si="6"/>
        <v>998.30000000000007</v>
      </c>
      <c r="M26" s="12">
        <v>0.8</v>
      </c>
      <c r="N26" s="12">
        <f t="shared" si="7"/>
        <v>998.90000000000009</v>
      </c>
      <c r="O26" s="12">
        <v>2</v>
      </c>
      <c r="P26" s="12">
        <f t="shared" si="7"/>
        <v>997.5</v>
      </c>
      <c r="Q26" s="12">
        <v>1</v>
      </c>
      <c r="R26" s="12">
        <f t="shared" si="7"/>
        <v>997.19999999999993</v>
      </c>
      <c r="S26" s="12">
        <v>0.2</v>
      </c>
      <c r="T26" s="12">
        <f t="shared" si="7"/>
        <v>999.7</v>
      </c>
    </row>
    <row r="27" spans="1:20" x14ac:dyDescent="0.2">
      <c r="A27" s="1"/>
      <c r="D27" s="11"/>
      <c r="E27" s="8"/>
      <c r="J27" s="12">
        <v>22</v>
      </c>
      <c r="K27" s="12">
        <v>0.6</v>
      </c>
      <c r="L27" s="12">
        <f t="shared" si="6"/>
        <v>998.90000000000009</v>
      </c>
      <c r="M27" s="12">
        <v>0.3</v>
      </c>
      <c r="N27" s="12">
        <f t="shared" si="7"/>
        <v>999.2</v>
      </c>
      <c r="O27" s="12">
        <v>0.7</v>
      </c>
      <c r="P27" s="12">
        <f t="shared" si="7"/>
        <v>998.2</v>
      </c>
      <c r="Q27" s="12">
        <v>1.1000000000000001</v>
      </c>
      <c r="R27" s="12">
        <f t="shared" si="7"/>
        <v>998.3</v>
      </c>
      <c r="S27" s="12">
        <v>0.1</v>
      </c>
      <c r="T27" s="12">
        <f t="shared" si="7"/>
        <v>999.80000000000007</v>
      </c>
    </row>
    <row r="28" spans="1:20" x14ac:dyDescent="0.2">
      <c r="J28" s="12">
        <v>23</v>
      </c>
      <c r="K28" s="12">
        <v>0.4</v>
      </c>
      <c r="L28" s="12">
        <f t="shared" si="6"/>
        <v>999.30000000000007</v>
      </c>
      <c r="M28" s="12">
        <v>0.1</v>
      </c>
      <c r="N28" s="12">
        <f t="shared" si="7"/>
        <v>999.30000000000007</v>
      </c>
      <c r="O28" s="12">
        <v>0.6</v>
      </c>
      <c r="P28" s="12">
        <f t="shared" si="7"/>
        <v>998.80000000000007</v>
      </c>
      <c r="Q28" s="12">
        <v>0.9</v>
      </c>
      <c r="R28" s="12">
        <f t="shared" si="7"/>
        <v>999.19999999999993</v>
      </c>
      <c r="S28" s="12">
        <v>0</v>
      </c>
      <c r="T28" s="12">
        <f t="shared" si="7"/>
        <v>999.80000000000007</v>
      </c>
    </row>
    <row r="29" spans="1:20" x14ac:dyDescent="0.2">
      <c r="A29" s="1"/>
      <c r="J29" s="12">
        <v>24</v>
      </c>
      <c r="K29" s="12">
        <v>0.2</v>
      </c>
      <c r="L29" s="12">
        <f t="shared" si="6"/>
        <v>999.50000000000011</v>
      </c>
      <c r="M29" s="12">
        <v>0.4</v>
      </c>
      <c r="N29" s="12">
        <f t="shared" si="7"/>
        <v>999.7</v>
      </c>
      <c r="O29" s="12">
        <v>0.2</v>
      </c>
      <c r="P29" s="12">
        <f t="shared" si="7"/>
        <v>999.00000000000011</v>
      </c>
      <c r="Q29" s="12">
        <v>0.3</v>
      </c>
      <c r="R29" s="12">
        <f t="shared" si="7"/>
        <v>999.49999999999989</v>
      </c>
      <c r="S29" s="12">
        <v>0</v>
      </c>
      <c r="T29" s="12">
        <f t="shared" si="7"/>
        <v>999.80000000000007</v>
      </c>
    </row>
    <row r="30" spans="1:20" x14ac:dyDescent="0.2">
      <c r="J30" s="12">
        <v>25</v>
      </c>
      <c r="K30" s="12">
        <v>0.1</v>
      </c>
      <c r="L30" s="12">
        <f t="shared" si="6"/>
        <v>999.60000000000014</v>
      </c>
      <c r="M30" s="12">
        <v>0</v>
      </c>
      <c r="N30" s="12">
        <f t="shared" si="7"/>
        <v>999.7</v>
      </c>
      <c r="O30" s="12">
        <v>0.5</v>
      </c>
      <c r="P30" s="12">
        <f t="shared" si="7"/>
        <v>999.50000000000011</v>
      </c>
      <c r="Q30" s="12">
        <v>0.1</v>
      </c>
      <c r="R30" s="12">
        <f t="shared" si="7"/>
        <v>999.59999999999991</v>
      </c>
      <c r="S30" s="12">
        <v>0</v>
      </c>
      <c r="T30" s="12">
        <f t="shared" si="7"/>
        <v>999.80000000000007</v>
      </c>
    </row>
    <row r="31" spans="1:20" x14ac:dyDescent="0.2">
      <c r="J31" s="12">
        <v>26</v>
      </c>
      <c r="K31" s="12">
        <v>0</v>
      </c>
      <c r="L31" s="12">
        <f t="shared" si="6"/>
        <v>999.60000000000014</v>
      </c>
      <c r="M31" s="12">
        <v>0.1</v>
      </c>
      <c r="N31" s="12">
        <f t="shared" si="7"/>
        <v>999.80000000000007</v>
      </c>
      <c r="O31" s="12">
        <v>0</v>
      </c>
      <c r="P31" s="12">
        <f t="shared" si="7"/>
        <v>999.50000000000011</v>
      </c>
      <c r="Q31" s="12">
        <v>0</v>
      </c>
      <c r="R31" s="12">
        <f t="shared" si="7"/>
        <v>999.59999999999991</v>
      </c>
      <c r="S31" s="12">
        <v>0</v>
      </c>
      <c r="T31" s="12">
        <f t="shared" si="7"/>
        <v>999.80000000000007</v>
      </c>
    </row>
    <row r="32" spans="1:20" x14ac:dyDescent="0.2">
      <c r="J32" s="12">
        <v>27</v>
      </c>
      <c r="K32" s="12">
        <v>0</v>
      </c>
      <c r="L32" s="12">
        <f t="shared" si="6"/>
        <v>999.60000000000014</v>
      </c>
      <c r="M32" s="12">
        <v>0</v>
      </c>
      <c r="N32" s="12">
        <f t="shared" si="7"/>
        <v>999.80000000000007</v>
      </c>
      <c r="O32" s="12">
        <v>0</v>
      </c>
      <c r="P32" s="12">
        <f t="shared" si="7"/>
        <v>999.50000000000011</v>
      </c>
      <c r="Q32" s="12">
        <v>0</v>
      </c>
      <c r="R32" s="12">
        <f t="shared" si="7"/>
        <v>999.59999999999991</v>
      </c>
      <c r="S32" s="12">
        <v>0</v>
      </c>
      <c r="T32" s="12">
        <f t="shared" si="7"/>
        <v>999.80000000000007</v>
      </c>
    </row>
    <row r="33" spans="10:20" x14ac:dyDescent="0.2">
      <c r="J33" s="12">
        <v>28</v>
      </c>
      <c r="K33" s="12">
        <v>0</v>
      </c>
      <c r="L33" s="12">
        <f t="shared" si="6"/>
        <v>999.60000000000014</v>
      </c>
      <c r="M33" s="12">
        <v>0</v>
      </c>
      <c r="N33" s="12">
        <f t="shared" si="7"/>
        <v>999.80000000000007</v>
      </c>
      <c r="O33" s="12">
        <v>0</v>
      </c>
      <c r="P33" s="12">
        <f t="shared" si="7"/>
        <v>999.50000000000011</v>
      </c>
      <c r="Q33" s="12">
        <v>0.1</v>
      </c>
      <c r="R33" s="12">
        <f t="shared" si="7"/>
        <v>999.69999999999993</v>
      </c>
      <c r="S33" s="12">
        <v>0</v>
      </c>
      <c r="T33" s="12">
        <f t="shared" si="7"/>
        <v>999.80000000000007</v>
      </c>
    </row>
    <row r="34" spans="10:20" x14ac:dyDescent="0.2">
      <c r="J34" s="12">
        <v>29</v>
      </c>
      <c r="K34" s="12">
        <v>0.1</v>
      </c>
      <c r="L34" s="12">
        <f t="shared" si="6"/>
        <v>999.70000000000016</v>
      </c>
      <c r="M34" s="12">
        <v>0</v>
      </c>
      <c r="N34" s="12">
        <f t="shared" si="7"/>
        <v>999.80000000000007</v>
      </c>
      <c r="O34" s="12">
        <v>0.3</v>
      </c>
      <c r="P34" s="12">
        <f t="shared" si="7"/>
        <v>999.80000000000007</v>
      </c>
      <c r="Q34" s="12">
        <v>0</v>
      </c>
      <c r="R34" s="12">
        <f t="shared" si="7"/>
        <v>999.69999999999993</v>
      </c>
      <c r="S34" s="12">
        <v>0</v>
      </c>
      <c r="T34" s="12">
        <f t="shared" si="7"/>
        <v>999.80000000000007</v>
      </c>
    </row>
    <row r="35" spans="10:20" x14ac:dyDescent="0.2">
      <c r="J35" s="12">
        <v>30</v>
      </c>
      <c r="K35" s="12">
        <v>0</v>
      </c>
      <c r="L35" s="12">
        <f t="shared" si="6"/>
        <v>999.70000000000016</v>
      </c>
      <c r="M35" s="12">
        <v>0.1</v>
      </c>
      <c r="N35" s="12">
        <f t="shared" si="7"/>
        <v>999.90000000000009</v>
      </c>
      <c r="O35" s="12">
        <v>0</v>
      </c>
      <c r="P35" s="12">
        <f t="shared" si="7"/>
        <v>999.80000000000007</v>
      </c>
      <c r="Q35" s="12">
        <v>0</v>
      </c>
      <c r="R35" s="12">
        <f t="shared" si="7"/>
        <v>999.69999999999993</v>
      </c>
      <c r="S35" s="12">
        <v>0</v>
      </c>
      <c r="T35" s="12">
        <f t="shared" si="7"/>
        <v>999.80000000000007</v>
      </c>
    </row>
    <row r="36" spans="10:20" x14ac:dyDescent="0.2">
      <c r="J36" s="12">
        <v>31</v>
      </c>
      <c r="K36" s="12">
        <v>0</v>
      </c>
      <c r="L36" s="12">
        <f t="shared" si="6"/>
        <v>999.70000000000016</v>
      </c>
      <c r="M36" s="12">
        <v>0</v>
      </c>
      <c r="N36" s="12">
        <f t="shared" si="7"/>
        <v>999.90000000000009</v>
      </c>
      <c r="O36" s="12">
        <v>0</v>
      </c>
      <c r="P36" s="12">
        <f t="shared" si="7"/>
        <v>999.80000000000007</v>
      </c>
      <c r="Q36" s="12">
        <v>0</v>
      </c>
      <c r="R36" s="12">
        <f t="shared" si="7"/>
        <v>999.69999999999993</v>
      </c>
      <c r="S36" s="12">
        <v>0</v>
      </c>
      <c r="T36" s="12">
        <f t="shared" si="7"/>
        <v>999.80000000000007</v>
      </c>
    </row>
    <row r="37" spans="10:20" x14ac:dyDescent="0.2">
      <c r="J37" s="12">
        <v>32</v>
      </c>
      <c r="K37" s="12">
        <v>0.1</v>
      </c>
      <c r="L37" s="12">
        <f t="shared" si="6"/>
        <v>999.80000000000018</v>
      </c>
      <c r="M37" s="12">
        <v>0.1</v>
      </c>
      <c r="N37" s="12">
        <f t="shared" si="7"/>
        <v>1000.0000000000001</v>
      </c>
      <c r="O37" s="12">
        <v>0.1</v>
      </c>
      <c r="P37" s="12">
        <f t="shared" si="7"/>
        <v>999.90000000000009</v>
      </c>
      <c r="Q37" s="12">
        <v>0</v>
      </c>
      <c r="R37" s="12">
        <f t="shared" si="7"/>
        <v>999.69999999999993</v>
      </c>
      <c r="S37" s="12">
        <v>0</v>
      </c>
      <c r="T37" s="12">
        <f t="shared" si="7"/>
        <v>999.80000000000007</v>
      </c>
    </row>
    <row r="38" spans="10:20" x14ac:dyDescent="0.2">
      <c r="J38" s="12">
        <v>33</v>
      </c>
      <c r="K38" s="12">
        <v>0</v>
      </c>
      <c r="L38" s="12">
        <f t="shared" si="6"/>
        <v>999.80000000000018</v>
      </c>
      <c r="M38" s="12">
        <v>0</v>
      </c>
      <c r="N38" s="12">
        <f t="shared" si="7"/>
        <v>1000.0000000000001</v>
      </c>
      <c r="O38" s="12">
        <v>0</v>
      </c>
      <c r="P38" s="12">
        <f t="shared" si="7"/>
        <v>999.90000000000009</v>
      </c>
      <c r="Q38" s="12">
        <v>0</v>
      </c>
      <c r="R38" s="12">
        <f t="shared" si="7"/>
        <v>999.69999999999993</v>
      </c>
      <c r="S38" s="12">
        <v>0</v>
      </c>
      <c r="T38" s="12">
        <f t="shared" si="7"/>
        <v>999.80000000000007</v>
      </c>
    </row>
    <row r="39" spans="10:20" x14ac:dyDescent="0.2">
      <c r="J39" s="12">
        <v>34</v>
      </c>
      <c r="K39" s="12">
        <v>0</v>
      </c>
      <c r="L39" s="12">
        <f t="shared" si="6"/>
        <v>999.80000000000018</v>
      </c>
      <c r="M39" s="12">
        <v>0</v>
      </c>
      <c r="N39" s="12">
        <f t="shared" si="7"/>
        <v>1000.0000000000001</v>
      </c>
      <c r="O39" s="12">
        <v>0</v>
      </c>
      <c r="P39" s="12">
        <f t="shared" si="7"/>
        <v>999.90000000000009</v>
      </c>
      <c r="Q39" s="12">
        <v>0</v>
      </c>
      <c r="R39" s="12">
        <f t="shared" si="7"/>
        <v>999.69999999999993</v>
      </c>
      <c r="S39" s="12">
        <v>0</v>
      </c>
      <c r="T39" s="12">
        <f t="shared" si="7"/>
        <v>999.80000000000007</v>
      </c>
    </row>
    <row r="40" spans="10:20" x14ac:dyDescent="0.2">
      <c r="J40" s="12">
        <v>35</v>
      </c>
      <c r="K40" s="12">
        <v>0</v>
      </c>
      <c r="L40" s="12">
        <f t="shared" si="6"/>
        <v>999.80000000000018</v>
      </c>
      <c r="M40" s="12">
        <v>0</v>
      </c>
      <c r="N40" s="12">
        <f t="shared" si="7"/>
        <v>1000.0000000000001</v>
      </c>
      <c r="O40" s="12">
        <v>0</v>
      </c>
      <c r="P40" s="12">
        <f t="shared" si="7"/>
        <v>999.90000000000009</v>
      </c>
      <c r="Q40" s="12">
        <v>0</v>
      </c>
      <c r="R40" s="12">
        <f t="shared" si="7"/>
        <v>999.69999999999993</v>
      </c>
      <c r="S40" s="12">
        <v>0</v>
      </c>
      <c r="T40" s="12">
        <f t="shared" si="7"/>
        <v>999.80000000000007</v>
      </c>
    </row>
    <row r="41" spans="10:20" x14ac:dyDescent="0.2">
      <c r="J41" s="12">
        <v>36</v>
      </c>
      <c r="K41" s="12">
        <v>0</v>
      </c>
      <c r="L41" s="12">
        <f t="shared" si="6"/>
        <v>999.80000000000018</v>
      </c>
      <c r="M41" s="12">
        <v>0</v>
      </c>
      <c r="N41" s="12">
        <f t="shared" si="7"/>
        <v>1000.0000000000001</v>
      </c>
      <c r="O41" s="12">
        <v>0</v>
      </c>
      <c r="P41" s="12">
        <f t="shared" si="7"/>
        <v>999.90000000000009</v>
      </c>
      <c r="Q41" s="12">
        <v>0</v>
      </c>
      <c r="R41" s="12">
        <f t="shared" si="7"/>
        <v>999.69999999999993</v>
      </c>
      <c r="S41" s="12">
        <v>0</v>
      </c>
      <c r="T41" s="12">
        <f t="shared" si="7"/>
        <v>999.80000000000007</v>
      </c>
    </row>
    <row r="42" spans="10:20" x14ac:dyDescent="0.2">
      <c r="J42" s="12">
        <v>37</v>
      </c>
      <c r="K42" s="12">
        <v>0</v>
      </c>
      <c r="L42" s="12">
        <f t="shared" si="6"/>
        <v>999.80000000000018</v>
      </c>
      <c r="M42" s="12">
        <v>0</v>
      </c>
      <c r="N42" s="12">
        <f t="shared" si="7"/>
        <v>1000.0000000000001</v>
      </c>
      <c r="O42" s="12">
        <v>0</v>
      </c>
      <c r="P42" s="12">
        <f t="shared" si="7"/>
        <v>999.90000000000009</v>
      </c>
      <c r="Q42" s="12">
        <v>0</v>
      </c>
      <c r="R42" s="12">
        <f t="shared" si="7"/>
        <v>999.69999999999993</v>
      </c>
      <c r="S42" s="12">
        <v>0</v>
      </c>
      <c r="T42" s="12">
        <f t="shared" si="7"/>
        <v>999.80000000000007</v>
      </c>
    </row>
    <row r="43" spans="10:20" x14ac:dyDescent="0.2">
      <c r="J43" s="12">
        <v>38</v>
      </c>
      <c r="K43" s="12">
        <v>0</v>
      </c>
      <c r="L43" s="12">
        <f t="shared" si="6"/>
        <v>999.80000000000018</v>
      </c>
      <c r="M43" s="12">
        <v>0.1</v>
      </c>
      <c r="N43" s="12">
        <f t="shared" si="7"/>
        <v>1000.1000000000001</v>
      </c>
      <c r="O43" s="12">
        <v>0</v>
      </c>
      <c r="P43" s="12">
        <f t="shared" si="7"/>
        <v>999.90000000000009</v>
      </c>
      <c r="Q43" s="12">
        <v>0</v>
      </c>
      <c r="R43" s="12">
        <f t="shared" si="7"/>
        <v>999.69999999999993</v>
      </c>
      <c r="S43" s="12">
        <v>0</v>
      </c>
      <c r="T43" s="12">
        <f t="shared" si="7"/>
        <v>999.80000000000007</v>
      </c>
    </row>
  </sheetData>
  <mergeCells count="1">
    <mergeCell ref="D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38"/>
  <sheetViews>
    <sheetView topLeftCell="B1" zoomScaleNormal="100" workbookViewId="0">
      <selection activeCell="D5" sqref="D5"/>
    </sheetView>
  </sheetViews>
  <sheetFormatPr defaultRowHeight="12.75" x14ac:dyDescent="0.2"/>
  <cols>
    <col min="1" max="1" width="28.28515625" hidden="1" customWidth="1"/>
    <col min="2" max="3" width="9.28515625" bestFit="1" customWidth="1"/>
    <col min="10" max="10" width="4.140625" bestFit="1" customWidth="1"/>
    <col min="11" max="11" width="6" bestFit="1" customWidth="1"/>
    <col min="12" max="12" width="8.5703125" bestFit="1" customWidth="1"/>
    <col min="13" max="13" width="5.42578125" customWidth="1"/>
    <col min="14" max="14" width="6.5703125" customWidth="1"/>
    <col min="15" max="15" width="6" customWidth="1"/>
    <col min="16" max="16" width="6.42578125" customWidth="1"/>
    <col min="17" max="19" width="6" bestFit="1" customWidth="1"/>
  </cols>
  <sheetData>
    <row r="1" spans="1:28" x14ac:dyDescent="0.2">
      <c r="D1" s="22" t="s">
        <v>48</v>
      </c>
      <c r="E1" s="22"/>
      <c r="F1" s="22"/>
      <c r="G1" s="22"/>
      <c r="H1" s="22"/>
    </row>
    <row r="2" spans="1:28" x14ac:dyDescent="0.2">
      <c r="D2" s="2" t="str">
        <f>K4</f>
        <v>Annual</v>
      </c>
      <c r="E2" s="2" t="str">
        <f>M4</f>
        <v>Dec-Feb</v>
      </c>
      <c r="F2" s="2" t="str">
        <f>O4</f>
        <v>Mar-May</v>
      </c>
      <c r="G2" s="2" t="str">
        <f>Q4</f>
        <v>Jun-Aug</v>
      </c>
      <c r="H2" s="2" t="str">
        <f>S4</f>
        <v>Sep-Nov</v>
      </c>
    </row>
    <row r="3" spans="1:28" ht="38.25" x14ac:dyDescent="0.2">
      <c r="B3" t="s">
        <v>21</v>
      </c>
      <c r="C3" t="s">
        <v>21</v>
      </c>
      <c r="D3" s="2" t="s">
        <v>36</v>
      </c>
      <c r="E3" s="2" t="s">
        <v>36</v>
      </c>
      <c r="F3" s="2" t="s">
        <v>36</v>
      </c>
      <c r="G3" s="2" t="s">
        <v>36</v>
      </c>
      <c r="H3" s="2" t="s">
        <v>36</v>
      </c>
      <c r="J3" s="12"/>
      <c r="K3" s="12">
        <v>235</v>
      </c>
      <c r="L3" s="12"/>
      <c r="M3" s="12">
        <f>K3+1</f>
        <v>236</v>
      </c>
      <c r="N3" s="12"/>
      <c r="O3" s="12">
        <f>M3+1</f>
        <v>237</v>
      </c>
      <c r="P3" s="12"/>
      <c r="Q3" s="12">
        <f>O3+1</f>
        <v>238</v>
      </c>
      <c r="R3" s="12"/>
      <c r="S3" s="12">
        <f>Q3+1</f>
        <v>239</v>
      </c>
      <c r="T3" s="12"/>
    </row>
    <row r="4" spans="1:28" x14ac:dyDescent="0.2">
      <c r="B4" t="s">
        <v>22</v>
      </c>
      <c r="C4" t="s">
        <v>23</v>
      </c>
      <c r="D4" s="1"/>
      <c r="E4" s="1"/>
      <c r="F4" s="1"/>
      <c r="G4" s="1"/>
      <c r="H4" s="1"/>
      <c r="I4" s="1"/>
      <c r="J4" s="12" t="s">
        <v>23</v>
      </c>
      <c r="K4" s="12" t="s">
        <v>66</v>
      </c>
      <c r="L4" s="12"/>
      <c r="M4" s="12" t="s">
        <v>62</v>
      </c>
      <c r="N4" s="12"/>
      <c r="O4" s="12" t="s">
        <v>63</v>
      </c>
      <c r="P4" s="12"/>
      <c r="Q4" s="12" t="s">
        <v>64</v>
      </c>
      <c r="R4" s="12"/>
      <c r="S4" s="12" t="s">
        <v>65</v>
      </c>
      <c r="T4" s="12"/>
    </row>
    <row r="5" spans="1:28" x14ac:dyDescent="0.2">
      <c r="A5" s="1" t="s">
        <v>0</v>
      </c>
      <c r="B5">
        <v>40</v>
      </c>
      <c r="C5" s="3">
        <f>0.5144444*B5</f>
        <v>20.577776</v>
      </c>
      <c r="D5" s="10">
        <f>(($C5-INDEX($J$5:$J$34,MATCH($C5,$J$5:$J$34)))/(INDEX($J$5:$J$34,MATCH($C5,$J$5:$J$34)+1)-INDEX($J$5:$J$34,MATCH($C5,$J$5:$J$34)))*(INDEX($L$5:$L$34,MATCH($C5,$J$5:$J$34)+1)-INDEX($L$5:$L$34,MATCH($C5,$J$5:$J$34)))+INDEX($L$5:$L$34,MATCH($C5,$J$5:$J$34)))/1000</f>
        <v>0.99705110880000014</v>
      </c>
      <c r="E5" s="10">
        <f>(($C5-INDEX($J$5:$J$34,MATCH($C5,$J$5:$J$34)))/(INDEX($J$5:$J$34,MATCH($C5,$J$5:$J$34)+1)-INDEX($J$5:$J$34,MATCH($C5,$J$5:$J$34)))*(INDEX($N$5:$N$34,MATCH($C5,$J$5:$J$34)+1)-INDEX($N$5:$N$34,MATCH($C5,$J$5:$J$34)))+INDEX($N$5:$N$34,MATCH($C5,$J$5:$J$34)))/1000</f>
        <v>0.99783111039999994</v>
      </c>
      <c r="F5" s="10">
        <f>(($C5-INDEX($J$5:$J$34,MATCH($C5,$J$5:$J$34)))/(INDEX($J$5:$J$34,MATCH($C5,$J$5:$J$34)+1)-INDEX($J$5:$J$34,MATCH($C5,$J$5:$J$34)))*(INDEX($P$5:$P$34,MATCH($C5,$J$5:$J$34)+1)-INDEX($P$5:$P$34,MATCH($C5,$J$5:$J$34)))+INDEX($P$5:$P$34,MATCH($C5,$J$5:$J$34)))/1000</f>
        <v>0.99700888640000029</v>
      </c>
      <c r="G5" s="10">
        <f>(($C5-INDEX($J$5:$J$34,MATCH($C5,$J$5:$J$34)))/(INDEX($J$5:$J$34,MATCH($C5,$J$5:$J$34)+1)-INDEX($J$5:$J$34,MATCH($C5,$J$5:$J$34)))*(INDEX($R$5:$R$34,MATCH($C5,$J$5:$J$34)+1)-INDEX($R$5:$R$34,MATCH($C5,$J$5:$J$34)))+INDEX($R$5:$R$34,MATCH($C5,$J$5:$J$34)))/1000</f>
        <v>0.99557110720000019</v>
      </c>
      <c r="H5" s="10">
        <f>(($C5-INDEX($J$5:$J$34,MATCH($C5,$J$5:$J$34)))/(INDEX($J$5:$J$34,MATCH($C5,$J$5:$J$34)+1)-INDEX($J$5:$J$34,MATCH($C5,$J$5:$J$34)))*(INDEX($T$5:$T$34,MATCH($C5,$J$5:$J$34)+1)-INDEX($T$5:$T$34,MATCH($C5,$J$5:$J$34)))+INDEX($T$5:$T$34,MATCH($C5,$J$5:$J$34)))/1000</f>
        <v>0.9985355535999999</v>
      </c>
      <c r="J5" s="12">
        <v>0</v>
      </c>
      <c r="K5" s="12">
        <v>4.4000000000000004</v>
      </c>
      <c r="L5" s="12">
        <f>K5</f>
        <v>4.4000000000000004</v>
      </c>
      <c r="M5" s="12">
        <v>5.2</v>
      </c>
      <c r="N5" s="12">
        <f>M5</f>
        <v>5.2</v>
      </c>
      <c r="O5" s="12">
        <v>4</v>
      </c>
      <c r="P5" s="12">
        <f>O5</f>
        <v>4</v>
      </c>
      <c r="Q5" s="12">
        <v>4.2</v>
      </c>
      <c r="R5" s="12">
        <f>Q5</f>
        <v>4.2</v>
      </c>
      <c r="S5" s="12">
        <v>4.4000000000000004</v>
      </c>
      <c r="T5" s="12">
        <f>S5</f>
        <v>4.4000000000000004</v>
      </c>
      <c r="V5">
        <f>INDEX($J$5:$J$34,MATCH(C5,$J$5:$J$34))</f>
        <v>20</v>
      </c>
      <c r="W5">
        <f>V5+1</f>
        <v>21</v>
      </c>
      <c r="X5">
        <f>INDEX($L$5:$L$34,MATCH($C5,$J$5:$J$34))</f>
        <v>996.30000000000018</v>
      </c>
      <c r="Y5">
        <f>INDEX($L$5:$L$34,MATCH($C5,$J$5:$J$34)+1)</f>
        <v>997.60000000000014</v>
      </c>
      <c r="Z5">
        <v>1</v>
      </c>
      <c r="AA5">
        <v>1</v>
      </c>
      <c r="AB5">
        <f>SQRT(Z5^2+AA5^2)</f>
        <v>1.4142135623730951</v>
      </c>
    </row>
    <row r="6" spans="1:28" x14ac:dyDescent="0.2">
      <c r="A6" t="s">
        <v>5</v>
      </c>
      <c r="B6">
        <v>40</v>
      </c>
      <c r="C6" s="3">
        <f t="shared" ref="C6:C25" si="0">0.5144444*B6</f>
        <v>20.577776</v>
      </c>
      <c r="D6" s="10">
        <f t="shared" ref="D6:D25" si="1">(($C6-INDEX($J$5:$J$34,MATCH($C6,$J$5:$J$34)))/(INDEX($J$5:$J$34,MATCH($C6,$J$5:$J$34)+1)-INDEX($J$5:$J$34,MATCH($C6,$J$5:$J$34)))*(INDEX($L$5:$L$34,MATCH($C6,$J$5:$J$34)+1)-INDEX($L$5:$L$34,MATCH($C6,$J$5:$J$34)))+INDEX($L$5:$L$34,MATCH($C6,$J$5:$J$34)))/1000</f>
        <v>0.99705110880000014</v>
      </c>
      <c r="E6" s="10">
        <f t="shared" ref="E6:E25" si="2">(($C6-INDEX($J$5:$J$34,MATCH($C6,$J$5:$J$34)))/(INDEX($J$5:$J$34,MATCH($C6,$J$5:$J$34)+1)-INDEX($J$5:$J$34,MATCH($C6,$J$5:$J$34)))*(INDEX($N$5:$N$34,MATCH($C6,$J$5:$J$34)+1)-INDEX($N$5:$N$34,MATCH($C6,$J$5:$J$34)))+INDEX($N$5:$N$34,MATCH($C6,$J$5:$J$34)))/1000</f>
        <v>0.99783111039999994</v>
      </c>
      <c r="F6" s="10">
        <f t="shared" ref="F6:F25" si="3">(($C6-INDEX($J$5:$J$34,MATCH($C6,$J$5:$J$34)))/(INDEX($J$5:$J$34,MATCH($C6,$J$5:$J$34)+1)-INDEX($J$5:$J$34,MATCH($C6,$J$5:$J$34)))*(INDEX($P$5:$P$34,MATCH($C6,$J$5:$J$34)+1)-INDEX($P$5:$P$34,MATCH($C6,$J$5:$J$34)))+INDEX($P$5:$P$34,MATCH($C6,$J$5:$J$34)))/1000</f>
        <v>0.99700888640000029</v>
      </c>
      <c r="G6" s="10">
        <f t="shared" ref="G6:G25" si="4">(($C6-INDEX($J$5:$J$34,MATCH($C6,$J$5:$J$34)))/(INDEX($J$5:$J$34,MATCH($C6,$J$5:$J$34)+1)-INDEX($J$5:$J$34,MATCH($C6,$J$5:$J$34)))*(INDEX($R$5:$R$34,MATCH($C6,$J$5:$J$34)+1)-INDEX($R$5:$R$34,MATCH($C6,$J$5:$J$34)))+INDEX($R$5:$R$34,MATCH($C6,$J$5:$J$34)))/1000</f>
        <v>0.99557110720000019</v>
      </c>
      <c r="H6" s="10">
        <f t="shared" ref="H6:H25" si="5">(($C6-INDEX($J$5:$J$34,MATCH($C6,$J$5:$J$34)))/(INDEX($J$5:$J$34,MATCH($C6,$J$5:$J$34)+1)-INDEX($J$5:$J$34,MATCH($C6,$J$5:$J$34)))*(INDEX($T$5:$T$34,MATCH($C6,$J$5:$J$34)+1)-INDEX($T$5:$T$34,MATCH($C6,$J$5:$J$34)))+INDEX($T$5:$T$34,MATCH($C6,$J$5:$J$34)))/1000</f>
        <v>0.9985355535999999</v>
      </c>
      <c r="J6" s="12">
        <v>1</v>
      </c>
      <c r="K6" s="12">
        <v>13.4</v>
      </c>
      <c r="L6" s="12">
        <f>L5+K6</f>
        <v>17.8</v>
      </c>
      <c r="M6" s="12">
        <v>17.7</v>
      </c>
      <c r="N6" s="12">
        <f>N5+M6</f>
        <v>22.9</v>
      </c>
      <c r="O6" s="12">
        <v>13.8</v>
      </c>
      <c r="P6" s="12">
        <f>P5+O6</f>
        <v>17.8</v>
      </c>
      <c r="Q6" s="12">
        <v>12</v>
      </c>
      <c r="R6" s="12">
        <f>R5+Q6</f>
        <v>16.2</v>
      </c>
      <c r="S6" s="12">
        <v>10.3</v>
      </c>
      <c r="T6" s="12">
        <f>T5+S6</f>
        <v>14.700000000000001</v>
      </c>
      <c r="V6">
        <f t="shared" ref="V6:V26" si="6">INDEX($J$5:$J$34,MATCH(C6,$J$5:$J$34))</f>
        <v>20</v>
      </c>
      <c r="W6">
        <f t="shared" ref="W6:W26" si="7">V6+1</f>
        <v>21</v>
      </c>
      <c r="X6">
        <f t="shared" ref="X6:X26" si="8">INDEX($L$5:$L$34,MATCH($C6,$J$5:$J$34))</f>
        <v>996.30000000000018</v>
      </c>
      <c r="Y6">
        <f t="shared" ref="Y6:Y26" si="9">INDEX($L$5:$L$34,MATCH($C6,$J$5:$J$34)+1)</f>
        <v>997.60000000000014</v>
      </c>
      <c r="Z6">
        <v>1</v>
      </c>
      <c r="AA6">
        <v>1</v>
      </c>
      <c r="AB6">
        <f t="shared" ref="AB6:AB17" si="10">SQRT(Z6^2+AA6^2)</f>
        <v>1.4142135623730951</v>
      </c>
    </row>
    <row r="7" spans="1:28" x14ac:dyDescent="0.2">
      <c r="A7" t="s">
        <v>19</v>
      </c>
      <c r="B7">
        <v>35</v>
      </c>
      <c r="C7" s="3">
        <f t="shared" si="0"/>
        <v>18.005554</v>
      </c>
      <c r="D7" s="10">
        <f t="shared" si="1"/>
        <v>0.98882554840000025</v>
      </c>
      <c r="E7" s="10">
        <f t="shared" si="2"/>
        <v>0.99470888639999999</v>
      </c>
      <c r="F7" s="10">
        <f t="shared" si="3"/>
        <v>0.9861338794000003</v>
      </c>
      <c r="G7" s="10">
        <f t="shared" si="4"/>
        <v>0.98343998879999994</v>
      </c>
      <c r="H7" s="10">
        <f t="shared" si="5"/>
        <v>0.99241777279999999</v>
      </c>
      <c r="J7" s="12">
        <v>2</v>
      </c>
      <c r="K7" s="12">
        <v>31.4</v>
      </c>
      <c r="L7" s="12">
        <f t="shared" ref="L7:L34" si="11">L6+K7</f>
        <v>49.2</v>
      </c>
      <c r="M7" s="12">
        <v>42.3</v>
      </c>
      <c r="N7" s="12">
        <f t="shared" ref="N7:T22" si="12">N6+M7</f>
        <v>65.199999999999989</v>
      </c>
      <c r="O7" s="12">
        <v>31.4</v>
      </c>
      <c r="P7" s="12">
        <f t="shared" si="12"/>
        <v>49.2</v>
      </c>
      <c r="Q7" s="12">
        <v>30</v>
      </c>
      <c r="R7" s="12">
        <f t="shared" si="12"/>
        <v>46.2</v>
      </c>
      <c r="S7" s="12">
        <v>22.3</v>
      </c>
      <c r="T7" s="12">
        <f t="shared" si="12"/>
        <v>37</v>
      </c>
      <c r="V7">
        <f t="shared" si="6"/>
        <v>18</v>
      </c>
      <c r="W7">
        <f t="shared" si="7"/>
        <v>19</v>
      </c>
      <c r="X7">
        <f t="shared" si="8"/>
        <v>988.80000000000018</v>
      </c>
      <c r="Y7">
        <f t="shared" si="9"/>
        <v>993.4000000000002</v>
      </c>
      <c r="Z7">
        <v>1</v>
      </c>
      <c r="AA7">
        <v>1</v>
      </c>
      <c r="AB7">
        <f t="shared" si="10"/>
        <v>1.4142135623730951</v>
      </c>
    </row>
    <row r="8" spans="1:28" x14ac:dyDescent="0.2">
      <c r="A8" t="s">
        <v>20</v>
      </c>
      <c r="B8">
        <v>30</v>
      </c>
      <c r="C8" s="3">
        <f t="shared" si="0"/>
        <v>15.433332</v>
      </c>
      <c r="D8" s="10">
        <f t="shared" si="1"/>
        <v>0.96326331160000023</v>
      </c>
      <c r="E8" s="10">
        <f t="shared" si="2"/>
        <v>0.97770998519999996</v>
      </c>
      <c r="F8" s="10">
        <f t="shared" si="3"/>
        <v>0.95491997440000009</v>
      </c>
      <c r="G8" s="10">
        <f t="shared" si="4"/>
        <v>0.95514664159999996</v>
      </c>
      <c r="H8" s="10">
        <f t="shared" si="5"/>
        <v>0.96767331279999991</v>
      </c>
      <c r="J8" s="12">
        <v>3</v>
      </c>
      <c r="K8" s="12">
        <v>48.6</v>
      </c>
      <c r="L8" s="12">
        <f t="shared" si="11"/>
        <v>97.800000000000011</v>
      </c>
      <c r="M8" s="12">
        <v>65.099999999999994</v>
      </c>
      <c r="N8" s="12">
        <f t="shared" si="12"/>
        <v>130.29999999999998</v>
      </c>
      <c r="O8" s="12">
        <v>48.6</v>
      </c>
      <c r="P8" s="12">
        <f t="shared" si="12"/>
        <v>97.800000000000011</v>
      </c>
      <c r="Q8" s="12">
        <v>42.8</v>
      </c>
      <c r="R8" s="12">
        <f t="shared" si="12"/>
        <v>89</v>
      </c>
      <c r="S8" s="12">
        <v>38.9</v>
      </c>
      <c r="T8" s="12">
        <f t="shared" si="12"/>
        <v>75.900000000000006</v>
      </c>
      <c r="V8">
        <f t="shared" si="6"/>
        <v>15</v>
      </c>
      <c r="W8">
        <f t="shared" si="7"/>
        <v>16</v>
      </c>
      <c r="X8">
        <f t="shared" si="8"/>
        <v>956.20000000000016</v>
      </c>
      <c r="Y8">
        <f t="shared" si="9"/>
        <v>972.50000000000011</v>
      </c>
      <c r="Z8">
        <v>4</v>
      </c>
      <c r="AA8">
        <v>4</v>
      </c>
      <c r="AB8">
        <f t="shared" si="10"/>
        <v>5.6568542494923806</v>
      </c>
    </row>
    <row r="9" spans="1:28" x14ac:dyDescent="0.2">
      <c r="A9" s="1" t="s">
        <v>1</v>
      </c>
      <c r="B9">
        <v>40</v>
      </c>
      <c r="C9" s="3">
        <f t="shared" si="0"/>
        <v>20.577776</v>
      </c>
      <c r="D9" s="10">
        <f t="shared" si="1"/>
        <v>0.99705110880000014</v>
      </c>
      <c r="E9" s="10">
        <f t="shared" si="2"/>
        <v>0.99783111039999994</v>
      </c>
      <c r="F9" s="10">
        <f t="shared" si="3"/>
        <v>0.99700888640000029</v>
      </c>
      <c r="G9" s="10">
        <f t="shared" si="4"/>
        <v>0.99557110720000019</v>
      </c>
      <c r="H9" s="10">
        <f t="shared" si="5"/>
        <v>0.9985355535999999</v>
      </c>
      <c r="J9" s="12">
        <v>4</v>
      </c>
      <c r="K9" s="12">
        <v>69.400000000000006</v>
      </c>
      <c r="L9" s="12">
        <f t="shared" si="11"/>
        <v>167.20000000000002</v>
      </c>
      <c r="M9" s="12">
        <v>86.1</v>
      </c>
      <c r="N9" s="12">
        <f t="shared" si="12"/>
        <v>216.39999999999998</v>
      </c>
      <c r="O9" s="12">
        <v>76.900000000000006</v>
      </c>
      <c r="P9" s="12">
        <f t="shared" si="12"/>
        <v>174.70000000000002</v>
      </c>
      <c r="Q9" s="12">
        <v>58.7</v>
      </c>
      <c r="R9" s="12">
        <f t="shared" si="12"/>
        <v>147.69999999999999</v>
      </c>
      <c r="S9" s="12">
        <v>56.9</v>
      </c>
      <c r="T9" s="12">
        <f t="shared" si="12"/>
        <v>132.80000000000001</v>
      </c>
      <c r="V9">
        <f t="shared" si="6"/>
        <v>20</v>
      </c>
      <c r="W9">
        <f t="shared" si="7"/>
        <v>21</v>
      </c>
      <c r="X9">
        <f t="shared" si="8"/>
        <v>996.30000000000018</v>
      </c>
      <c r="Y9">
        <f t="shared" si="9"/>
        <v>997.60000000000014</v>
      </c>
      <c r="Z9">
        <v>1</v>
      </c>
      <c r="AA9">
        <v>1</v>
      </c>
      <c r="AB9">
        <f t="shared" si="10"/>
        <v>1.4142135623730951</v>
      </c>
    </row>
    <row r="10" spans="1:28" x14ac:dyDescent="0.2">
      <c r="A10" t="s">
        <v>4</v>
      </c>
      <c r="B10">
        <v>40</v>
      </c>
      <c r="C10" s="3">
        <f t="shared" si="0"/>
        <v>20.577776</v>
      </c>
      <c r="D10" s="10">
        <f t="shared" si="1"/>
        <v>0.99705110880000014</v>
      </c>
      <c r="E10" s="10">
        <f t="shared" si="2"/>
        <v>0.99783111039999994</v>
      </c>
      <c r="F10" s="10">
        <f t="shared" si="3"/>
        <v>0.99700888640000029</v>
      </c>
      <c r="G10" s="10">
        <f t="shared" si="4"/>
        <v>0.99557110720000019</v>
      </c>
      <c r="H10" s="10">
        <f t="shared" si="5"/>
        <v>0.9985355535999999</v>
      </c>
      <c r="J10" s="12">
        <v>5</v>
      </c>
      <c r="K10" s="12">
        <v>82.7</v>
      </c>
      <c r="L10" s="12">
        <f t="shared" si="11"/>
        <v>249.90000000000003</v>
      </c>
      <c r="M10" s="12">
        <v>98.8</v>
      </c>
      <c r="N10" s="12">
        <f t="shared" si="12"/>
        <v>315.2</v>
      </c>
      <c r="O10" s="12">
        <v>83.7</v>
      </c>
      <c r="P10" s="12">
        <f t="shared" si="12"/>
        <v>258.40000000000003</v>
      </c>
      <c r="Q10" s="12">
        <v>72.8</v>
      </c>
      <c r="R10" s="12">
        <f t="shared" si="12"/>
        <v>220.5</v>
      </c>
      <c r="S10" s="12">
        <v>76.900000000000006</v>
      </c>
      <c r="T10" s="12">
        <f t="shared" si="12"/>
        <v>209.70000000000002</v>
      </c>
      <c r="V10">
        <f t="shared" si="6"/>
        <v>20</v>
      </c>
      <c r="W10">
        <f t="shared" si="7"/>
        <v>21</v>
      </c>
      <c r="X10">
        <f t="shared" si="8"/>
        <v>996.30000000000018</v>
      </c>
      <c r="Y10">
        <f t="shared" si="9"/>
        <v>997.60000000000014</v>
      </c>
      <c r="Z10">
        <v>1</v>
      </c>
      <c r="AA10">
        <v>1</v>
      </c>
      <c r="AB10">
        <f t="shared" si="10"/>
        <v>1.4142135623730951</v>
      </c>
    </row>
    <row r="11" spans="1:28" x14ac:dyDescent="0.2">
      <c r="A11" t="s">
        <v>6</v>
      </c>
      <c r="B11">
        <v>30</v>
      </c>
      <c r="C11" s="3">
        <f t="shared" si="0"/>
        <v>15.433332</v>
      </c>
      <c r="D11" s="10">
        <f t="shared" si="1"/>
        <v>0.96326331160000023</v>
      </c>
      <c r="E11" s="10">
        <f t="shared" si="2"/>
        <v>0.97770998519999996</v>
      </c>
      <c r="F11" s="10">
        <f t="shared" si="3"/>
        <v>0.95491997440000009</v>
      </c>
      <c r="G11" s="10">
        <f t="shared" si="4"/>
        <v>0.95514664159999996</v>
      </c>
      <c r="H11" s="10">
        <f t="shared" si="5"/>
        <v>0.96767331279999991</v>
      </c>
      <c r="J11" s="12">
        <v>6</v>
      </c>
      <c r="K11" s="12">
        <v>90</v>
      </c>
      <c r="L11" s="12">
        <f t="shared" si="11"/>
        <v>339.90000000000003</v>
      </c>
      <c r="M11" s="12">
        <v>95.7</v>
      </c>
      <c r="N11" s="12">
        <f t="shared" si="12"/>
        <v>410.9</v>
      </c>
      <c r="O11" s="12">
        <v>88.8</v>
      </c>
      <c r="P11" s="12">
        <f t="shared" si="12"/>
        <v>347.20000000000005</v>
      </c>
      <c r="Q11" s="12">
        <v>84.4</v>
      </c>
      <c r="R11" s="12">
        <f t="shared" si="12"/>
        <v>304.89999999999998</v>
      </c>
      <c r="S11" s="12">
        <v>92</v>
      </c>
      <c r="T11" s="12">
        <f t="shared" si="12"/>
        <v>301.70000000000005</v>
      </c>
      <c r="V11">
        <f t="shared" si="6"/>
        <v>15</v>
      </c>
      <c r="W11">
        <f t="shared" si="7"/>
        <v>16</v>
      </c>
      <c r="X11">
        <f t="shared" si="8"/>
        <v>956.20000000000016</v>
      </c>
      <c r="Y11">
        <f t="shared" si="9"/>
        <v>972.50000000000011</v>
      </c>
      <c r="Z11">
        <v>1</v>
      </c>
      <c r="AA11">
        <v>1</v>
      </c>
      <c r="AB11">
        <f t="shared" si="10"/>
        <v>1.4142135623730951</v>
      </c>
    </row>
    <row r="12" spans="1:28" x14ac:dyDescent="0.2">
      <c r="A12" t="s">
        <v>7</v>
      </c>
      <c r="B12">
        <v>30</v>
      </c>
      <c r="C12" s="3">
        <f t="shared" si="0"/>
        <v>15.433332</v>
      </c>
      <c r="D12" s="10">
        <f t="shared" si="1"/>
        <v>0.96326331160000023</v>
      </c>
      <c r="E12" s="10">
        <f t="shared" si="2"/>
        <v>0.97770998519999996</v>
      </c>
      <c r="F12" s="10">
        <f t="shared" si="3"/>
        <v>0.95491997440000009</v>
      </c>
      <c r="G12" s="10">
        <f t="shared" si="4"/>
        <v>0.95514664159999996</v>
      </c>
      <c r="H12" s="10">
        <f t="shared" si="5"/>
        <v>0.96767331279999991</v>
      </c>
      <c r="J12" s="12">
        <v>7</v>
      </c>
      <c r="K12" s="12">
        <v>94.5</v>
      </c>
      <c r="L12" s="12">
        <f t="shared" si="11"/>
        <v>434.40000000000003</v>
      </c>
      <c r="M12" s="12">
        <v>101.8</v>
      </c>
      <c r="N12" s="12">
        <f t="shared" si="12"/>
        <v>512.69999999999993</v>
      </c>
      <c r="O12" s="12">
        <v>87</v>
      </c>
      <c r="P12" s="12">
        <f t="shared" si="12"/>
        <v>434.20000000000005</v>
      </c>
      <c r="Q12" s="12">
        <v>96</v>
      </c>
      <c r="R12" s="12">
        <f t="shared" si="12"/>
        <v>400.9</v>
      </c>
      <c r="S12" s="12">
        <v>94.1</v>
      </c>
      <c r="T12" s="12">
        <f t="shared" si="12"/>
        <v>395.80000000000007</v>
      </c>
      <c r="V12">
        <f t="shared" si="6"/>
        <v>15</v>
      </c>
      <c r="W12">
        <f t="shared" si="7"/>
        <v>16</v>
      </c>
      <c r="X12">
        <f t="shared" si="8"/>
        <v>956.20000000000016</v>
      </c>
      <c r="Y12">
        <f t="shared" si="9"/>
        <v>972.50000000000011</v>
      </c>
      <c r="Z12">
        <v>1</v>
      </c>
      <c r="AA12">
        <v>1</v>
      </c>
      <c r="AB12">
        <f t="shared" si="10"/>
        <v>1.4142135623730951</v>
      </c>
    </row>
    <row r="13" spans="1:28" x14ac:dyDescent="0.2">
      <c r="A13" t="s">
        <v>8</v>
      </c>
      <c r="B13">
        <v>30</v>
      </c>
      <c r="C13" s="3">
        <f t="shared" si="0"/>
        <v>15.433332</v>
      </c>
      <c r="D13" s="10">
        <f t="shared" si="1"/>
        <v>0.96326331160000023</v>
      </c>
      <c r="E13" s="10">
        <f t="shared" si="2"/>
        <v>0.97770998519999996</v>
      </c>
      <c r="F13" s="10">
        <f t="shared" si="3"/>
        <v>0.95491997440000009</v>
      </c>
      <c r="G13" s="10">
        <f t="shared" si="4"/>
        <v>0.95514664159999996</v>
      </c>
      <c r="H13" s="10">
        <f t="shared" si="5"/>
        <v>0.96767331279999991</v>
      </c>
      <c r="J13" s="12">
        <v>8</v>
      </c>
      <c r="K13" s="12">
        <v>96.3</v>
      </c>
      <c r="L13" s="12">
        <f t="shared" si="11"/>
        <v>530.70000000000005</v>
      </c>
      <c r="M13" s="12">
        <v>101.6</v>
      </c>
      <c r="N13" s="12">
        <f t="shared" si="12"/>
        <v>614.29999999999995</v>
      </c>
      <c r="O13" s="12">
        <v>95.7</v>
      </c>
      <c r="P13" s="12">
        <f t="shared" si="12"/>
        <v>529.90000000000009</v>
      </c>
      <c r="Q13" s="12">
        <v>94.3</v>
      </c>
      <c r="R13" s="12">
        <f t="shared" si="12"/>
        <v>495.2</v>
      </c>
      <c r="S13" s="12">
        <v>93.8</v>
      </c>
      <c r="T13" s="12">
        <f t="shared" si="12"/>
        <v>489.60000000000008</v>
      </c>
      <c r="V13">
        <f t="shared" si="6"/>
        <v>15</v>
      </c>
      <c r="W13">
        <f t="shared" si="7"/>
        <v>16</v>
      </c>
      <c r="X13">
        <f t="shared" si="8"/>
        <v>956.20000000000016</v>
      </c>
      <c r="Y13">
        <f t="shared" si="9"/>
        <v>972.50000000000011</v>
      </c>
      <c r="Z13">
        <v>1</v>
      </c>
      <c r="AA13">
        <v>1</v>
      </c>
      <c r="AB13">
        <f t="shared" si="10"/>
        <v>1.4142135623730951</v>
      </c>
    </row>
    <row r="14" spans="1:28" x14ac:dyDescent="0.2">
      <c r="A14" t="s">
        <v>9</v>
      </c>
      <c r="B14">
        <v>40</v>
      </c>
      <c r="C14" s="3">
        <f t="shared" si="0"/>
        <v>20.577776</v>
      </c>
      <c r="D14" s="10">
        <f t="shared" si="1"/>
        <v>0.99705110880000014</v>
      </c>
      <c r="E14" s="10">
        <f t="shared" si="2"/>
        <v>0.99783111039999994</v>
      </c>
      <c r="F14" s="10">
        <f t="shared" si="3"/>
        <v>0.99700888640000029</v>
      </c>
      <c r="G14" s="10">
        <f t="shared" si="4"/>
        <v>0.99557110720000019</v>
      </c>
      <c r="H14" s="10">
        <f t="shared" si="5"/>
        <v>0.9985355535999999</v>
      </c>
      <c r="J14" s="12">
        <v>9</v>
      </c>
      <c r="K14" s="12">
        <v>92.2</v>
      </c>
      <c r="L14" s="12">
        <f t="shared" si="11"/>
        <v>622.90000000000009</v>
      </c>
      <c r="M14" s="12">
        <v>88.7</v>
      </c>
      <c r="N14" s="12">
        <f t="shared" si="12"/>
        <v>703</v>
      </c>
      <c r="O14" s="12">
        <v>86.1</v>
      </c>
      <c r="P14" s="12">
        <f t="shared" si="12"/>
        <v>616.00000000000011</v>
      </c>
      <c r="Q14" s="12">
        <v>95.8</v>
      </c>
      <c r="R14" s="12">
        <f t="shared" si="12"/>
        <v>591</v>
      </c>
      <c r="S14" s="12">
        <v>98.3</v>
      </c>
      <c r="T14" s="12">
        <f t="shared" si="12"/>
        <v>587.90000000000009</v>
      </c>
      <c r="V14">
        <f t="shared" si="6"/>
        <v>20</v>
      </c>
      <c r="W14">
        <f t="shared" si="7"/>
        <v>21</v>
      </c>
      <c r="X14">
        <f t="shared" si="8"/>
        <v>996.30000000000018</v>
      </c>
      <c r="Y14">
        <f t="shared" si="9"/>
        <v>997.60000000000014</v>
      </c>
      <c r="Z14">
        <v>1</v>
      </c>
      <c r="AA14">
        <v>1</v>
      </c>
      <c r="AB14">
        <f t="shared" si="10"/>
        <v>1.4142135623730951</v>
      </c>
    </row>
    <row r="15" spans="1:28" x14ac:dyDescent="0.2">
      <c r="A15" t="s">
        <v>11</v>
      </c>
      <c r="B15">
        <v>30</v>
      </c>
      <c r="C15" s="3">
        <f t="shared" si="0"/>
        <v>15.433332</v>
      </c>
      <c r="D15" s="10">
        <f t="shared" si="1"/>
        <v>0.96326331160000023</v>
      </c>
      <c r="E15" s="10">
        <f t="shared" si="2"/>
        <v>0.97770998519999996</v>
      </c>
      <c r="F15" s="10">
        <f t="shared" si="3"/>
        <v>0.95491997440000009</v>
      </c>
      <c r="G15" s="10">
        <f t="shared" si="4"/>
        <v>0.95514664159999996</v>
      </c>
      <c r="H15" s="10">
        <f t="shared" si="5"/>
        <v>0.96767331279999991</v>
      </c>
      <c r="J15" s="12">
        <v>10</v>
      </c>
      <c r="K15" s="12">
        <v>86.1</v>
      </c>
      <c r="L15" s="12">
        <f t="shared" si="11"/>
        <v>709.00000000000011</v>
      </c>
      <c r="M15" s="12">
        <v>77.3</v>
      </c>
      <c r="N15" s="12">
        <f t="shared" si="12"/>
        <v>780.3</v>
      </c>
      <c r="O15" s="12">
        <v>82.1</v>
      </c>
      <c r="P15" s="12">
        <f t="shared" si="12"/>
        <v>698.10000000000014</v>
      </c>
      <c r="Q15" s="12">
        <v>87.5</v>
      </c>
      <c r="R15" s="12">
        <f t="shared" si="12"/>
        <v>678.5</v>
      </c>
      <c r="S15" s="12">
        <v>97.4</v>
      </c>
      <c r="T15" s="12">
        <f t="shared" si="12"/>
        <v>685.30000000000007</v>
      </c>
      <c r="V15">
        <f t="shared" si="6"/>
        <v>15</v>
      </c>
      <c r="W15">
        <f t="shared" si="7"/>
        <v>16</v>
      </c>
      <c r="X15">
        <f t="shared" si="8"/>
        <v>956.20000000000016</v>
      </c>
      <c r="Y15">
        <f t="shared" si="9"/>
        <v>972.50000000000011</v>
      </c>
      <c r="Z15">
        <v>1</v>
      </c>
      <c r="AA15">
        <v>1</v>
      </c>
      <c r="AB15">
        <f t="shared" si="10"/>
        <v>1.4142135623730951</v>
      </c>
    </row>
    <row r="16" spans="1:28" x14ac:dyDescent="0.2">
      <c r="A16" t="s">
        <v>12</v>
      </c>
      <c r="B16">
        <v>40</v>
      </c>
      <c r="C16" s="3">
        <f t="shared" si="0"/>
        <v>20.577776</v>
      </c>
      <c r="D16" s="10">
        <f t="shared" si="1"/>
        <v>0.99705110880000014</v>
      </c>
      <c r="E16" s="10">
        <f t="shared" si="2"/>
        <v>0.99783111039999994</v>
      </c>
      <c r="F16" s="10">
        <f t="shared" si="3"/>
        <v>0.99700888640000029</v>
      </c>
      <c r="G16" s="10">
        <f t="shared" si="4"/>
        <v>0.99557110720000019</v>
      </c>
      <c r="H16" s="10">
        <f t="shared" si="5"/>
        <v>0.9985355535999999</v>
      </c>
      <c r="J16" s="12">
        <v>11</v>
      </c>
      <c r="K16" s="12">
        <v>78.599999999999994</v>
      </c>
      <c r="L16" s="12">
        <f t="shared" si="11"/>
        <v>787.60000000000014</v>
      </c>
      <c r="M16" s="12">
        <v>65.5</v>
      </c>
      <c r="N16" s="12">
        <f t="shared" si="12"/>
        <v>845.8</v>
      </c>
      <c r="O16" s="12">
        <v>77.8</v>
      </c>
      <c r="P16" s="12">
        <f t="shared" si="12"/>
        <v>775.90000000000009</v>
      </c>
      <c r="Q16" s="12">
        <v>84.6</v>
      </c>
      <c r="R16" s="12">
        <f t="shared" si="12"/>
        <v>763.1</v>
      </c>
      <c r="S16" s="12">
        <v>85.6</v>
      </c>
      <c r="T16" s="12">
        <f t="shared" si="12"/>
        <v>770.90000000000009</v>
      </c>
      <c r="V16">
        <f t="shared" si="6"/>
        <v>20</v>
      </c>
      <c r="W16">
        <f t="shared" si="7"/>
        <v>21</v>
      </c>
      <c r="X16">
        <f t="shared" si="8"/>
        <v>996.30000000000018</v>
      </c>
      <c r="Y16">
        <f t="shared" si="9"/>
        <v>997.60000000000014</v>
      </c>
      <c r="Z16">
        <v>1</v>
      </c>
      <c r="AA16">
        <v>1</v>
      </c>
      <c r="AB16">
        <f t="shared" si="10"/>
        <v>1.4142135623730951</v>
      </c>
    </row>
    <row r="17" spans="1:28" x14ac:dyDescent="0.2">
      <c r="A17" t="s">
        <v>13</v>
      </c>
      <c r="B17">
        <v>30</v>
      </c>
      <c r="C17" s="3">
        <f t="shared" si="0"/>
        <v>15.433332</v>
      </c>
      <c r="D17" s="10">
        <f t="shared" si="1"/>
        <v>0.96326331160000023</v>
      </c>
      <c r="E17" s="10">
        <f t="shared" si="2"/>
        <v>0.97770998519999996</v>
      </c>
      <c r="F17" s="10">
        <f t="shared" si="3"/>
        <v>0.95491997440000009</v>
      </c>
      <c r="G17" s="10">
        <f t="shared" si="4"/>
        <v>0.95514664159999996</v>
      </c>
      <c r="H17" s="10">
        <f t="shared" si="5"/>
        <v>0.96767331279999991</v>
      </c>
      <c r="J17" s="12">
        <v>12</v>
      </c>
      <c r="K17" s="12">
        <v>62.6</v>
      </c>
      <c r="L17" s="12">
        <f t="shared" si="11"/>
        <v>850.20000000000016</v>
      </c>
      <c r="M17" s="12">
        <v>47.1</v>
      </c>
      <c r="N17" s="12">
        <f t="shared" si="12"/>
        <v>892.9</v>
      </c>
      <c r="O17" s="12">
        <v>59.6</v>
      </c>
      <c r="P17" s="12">
        <f t="shared" si="12"/>
        <v>835.50000000000011</v>
      </c>
      <c r="Q17" s="12">
        <v>66.900000000000006</v>
      </c>
      <c r="R17" s="12">
        <f t="shared" si="12"/>
        <v>830</v>
      </c>
      <c r="S17" s="12">
        <v>76.099999999999994</v>
      </c>
      <c r="T17" s="12">
        <f t="shared" si="12"/>
        <v>847.00000000000011</v>
      </c>
      <c r="V17">
        <f t="shared" si="6"/>
        <v>15</v>
      </c>
      <c r="W17">
        <f t="shared" si="7"/>
        <v>16</v>
      </c>
      <c r="X17">
        <f t="shared" si="8"/>
        <v>956.20000000000016</v>
      </c>
      <c r="Y17">
        <f t="shared" si="9"/>
        <v>972.50000000000011</v>
      </c>
      <c r="Z17">
        <v>1</v>
      </c>
      <c r="AA17">
        <v>1</v>
      </c>
      <c r="AB17">
        <f t="shared" si="10"/>
        <v>1.4142135623730951</v>
      </c>
    </row>
    <row r="18" spans="1:28" x14ac:dyDescent="0.2">
      <c r="A18" t="s">
        <v>14</v>
      </c>
      <c r="B18">
        <v>30</v>
      </c>
      <c r="C18" s="3">
        <f t="shared" si="0"/>
        <v>15.433332</v>
      </c>
      <c r="D18" s="10">
        <f t="shared" si="1"/>
        <v>0.96326331160000023</v>
      </c>
      <c r="E18" s="10">
        <f t="shared" si="2"/>
        <v>0.97770998519999996</v>
      </c>
      <c r="F18" s="10">
        <f t="shared" si="3"/>
        <v>0.95491997440000009</v>
      </c>
      <c r="G18" s="10">
        <f t="shared" si="4"/>
        <v>0.95514664159999996</v>
      </c>
      <c r="H18" s="10">
        <f t="shared" si="5"/>
        <v>0.96767331279999991</v>
      </c>
      <c r="J18" s="12">
        <v>13</v>
      </c>
      <c r="K18" s="12">
        <v>47.5</v>
      </c>
      <c r="L18" s="12">
        <f t="shared" si="11"/>
        <v>897.70000000000016</v>
      </c>
      <c r="M18" s="12">
        <v>37.6</v>
      </c>
      <c r="N18" s="12">
        <f t="shared" si="12"/>
        <v>930.5</v>
      </c>
      <c r="O18" s="12">
        <v>47.7</v>
      </c>
      <c r="P18" s="12">
        <f t="shared" si="12"/>
        <v>883.20000000000016</v>
      </c>
      <c r="Q18" s="12">
        <v>53.2</v>
      </c>
      <c r="R18" s="12">
        <f t="shared" si="12"/>
        <v>883.2</v>
      </c>
      <c r="S18" s="12">
        <v>50.8</v>
      </c>
      <c r="T18" s="12">
        <f t="shared" si="12"/>
        <v>897.80000000000007</v>
      </c>
      <c r="V18">
        <f t="shared" si="6"/>
        <v>15</v>
      </c>
      <c r="W18">
        <f t="shared" si="7"/>
        <v>16</v>
      </c>
      <c r="X18">
        <f t="shared" si="8"/>
        <v>956.20000000000016</v>
      </c>
      <c r="Y18">
        <f t="shared" si="9"/>
        <v>972.50000000000011</v>
      </c>
    </row>
    <row r="19" spans="1:28" x14ac:dyDescent="0.2">
      <c r="A19" t="s">
        <v>15</v>
      </c>
      <c r="B19">
        <v>40</v>
      </c>
      <c r="C19" s="3">
        <f t="shared" si="0"/>
        <v>20.577776</v>
      </c>
      <c r="D19" s="10">
        <f t="shared" si="1"/>
        <v>0.99705110880000014</v>
      </c>
      <c r="E19" s="10">
        <f t="shared" si="2"/>
        <v>0.99783111039999994</v>
      </c>
      <c r="F19" s="10">
        <f t="shared" si="3"/>
        <v>0.99700888640000029</v>
      </c>
      <c r="G19" s="10">
        <f t="shared" si="4"/>
        <v>0.99557110720000019</v>
      </c>
      <c r="H19" s="10">
        <f t="shared" si="5"/>
        <v>0.9985355535999999</v>
      </c>
      <c r="J19" s="12">
        <v>14</v>
      </c>
      <c r="K19" s="12">
        <v>35.799999999999997</v>
      </c>
      <c r="L19" s="12">
        <f t="shared" si="11"/>
        <v>933.50000000000011</v>
      </c>
      <c r="M19" s="12">
        <v>26.3</v>
      </c>
      <c r="N19" s="12">
        <f t="shared" si="12"/>
        <v>956.8</v>
      </c>
      <c r="O19" s="12">
        <v>37.4</v>
      </c>
      <c r="P19" s="12">
        <f t="shared" si="12"/>
        <v>920.60000000000014</v>
      </c>
      <c r="Q19" s="12">
        <v>39.9</v>
      </c>
      <c r="R19" s="12">
        <f t="shared" si="12"/>
        <v>923.1</v>
      </c>
      <c r="S19" s="12">
        <v>38.799999999999997</v>
      </c>
      <c r="T19" s="12">
        <f t="shared" si="12"/>
        <v>936.6</v>
      </c>
      <c r="V19">
        <f t="shared" si="6"/>
        <v>20</v>
      </c>
      <c r="W19">
        <f t="shared" si="7"/>
        <v>21</v>
      </c>
      <c r="X19">
        <f t="shared" si="8"/>
        <v>996.30000000000018</v>
      </c>
      <c r="Y19">
        <f t="shared" si="9"/>
        <v>997.60000000000014</v>
      </c>
    </row>
    <row r="20" spans="1:28" x14ac:dyDescent="0.2">
      <c r="A20" t="s">
        <v>16</v>
      </c>
      <c r="B20">
        <v>40</v>
      </c>
      <c r="C20" s="3">
        <f t="shared" si="0"/>
        <v>20.577776</v>
      </c>
      <c r="D20" s="10">
        <f t="shared" si="1"/>
        <v>0.99705110880000014</v>
      </c>
      <c r="E20" s="10">
        <f t="shared" si="2"/>
        <v>0.99783111039999994</v>
      </c>
      <c r="F20" s="10">
        <f t="shared" si="3"/>
        <v>0.99700888640000029</v>
      </c>
      <c r="G20" s="10">
        <f t="shared" si="4"/>
        <v>0.99557110720000019</v>
      </c>
      <c r="H20" s="10">
        <f t="shared" si="5"/>
        <v>0.9985355535999999</v>
      </c>
      <c r="J20" s="12">
        <v>15</v>
      </c>
      <c r="K20" s="12">
        <v>22.7</v>
      </c>
      <c r="L20" s="12">
        <f t="shared" si="11"/>
        <v>956.20000000000016</v>
      </c>
      <c r="M20" s="12">
        <v>16.100000000000001</v>
      </c>
      <c r="N20" s="12">
        <f t="shared" si="12"/>
        <v>972.9</v>
      </c>
      <c r="O20" s="12">
        <v>26</v>
      </c>
      <c r="P20" s="12">
        <f t="shared" si="12"/>
        <v>946.60000000000014</v>
      </c>
      <c r="Q20" s="12">
        <v>23.9</v>
      </c>
      <c r="R20" s="12">
        <f t="shared" si="12"/>
        <v>947</v>
      </c>
      <c r="S20" s="12">
        <v>24.4</v>
      </c>
      <c r="T20" s="12">
        <f t="shared" si="12"/>
        <v>961</v>
      </c>
      <c r="V20">
        <f t="shared" si="6"/>
        <v>20</v>
      </c>
      <c r="W20">
        <f t="shared" si="7"/>
        <v>21</v>
      </c>
      <c r="X20">
        <f t="shared" si="8"/>
        <v>996.30000000000018</v>
      </c>
      <c r="Y20">
        <f t="shared" si="9"/>
        <v>997.60000000000014</v>
      </c>
    </row>
    <row r="21" spans="1:28" x14ac:dyDescent="0.2">
      <c r="A21" t="s">
        <v>17</v>
      </c>
      <c r="B21">
        <v>35</v>
      </c>
      <c r="C21" s="3">
        <f t="shared" si="0"/>
        <v>18.005554</v>
      </c>
      <c r="D21" s="10">
        <f t="shared" si="1"/>
        <v>0.98882554840000025</v>
      </c>
      <c r="E21" s="10">
        <f t="shared" si="2"/>
        <v>0.99470888639999999</v>
      </c>
      <c r="F21" s="10">
        <f t="shared" si="3"/>
        <v>0.9861338794000003</v>
      </c>
      <c r="G21" s="10">
        <f t="shared" si="4"/>
        <v>0.98343998879999994</v>
      </c>
      <c r="H21" s="10">
        <f t="shared" si="5"/>
        <v>0.99241777279999999</v>
      </c>
      <c r="J21" s="12">
        <v>16</v>
      </c>
      <c r="K21" s="12">
        <v>16.3</v>
      </c>
      <c r="L21" s="12">
        <f t="shared" si="11"/>
        <v>972.50000000000011</v>
      </c>
      <c r="M21" s="12">
        <v>11.1</v>
      </c>
      <c r="N21" s="12">
        <f t="shared" si="12"/>
        <v>984</v>
      </c>
      <c r="O21" s="12">
        <v>19.2</v>
      </c>
      <c r="P21" s="12">
        <f t="shared" si="12"/>
        <v>965.80000000000018</v>
      </c>
      <c r="Q21" s="12">
        <v>18.8</v>
      </c>
      <c r="R21" s="12">
        <f t="shared" si="12"/>
        <v>965.8</v>
      </c>
      <c r="S21" s="12">
        <v>15.4</v>
      </c>
      <c r="T21" s="12">
        <f t="shared" si="12"/>
        <v>976.4</v>
      </c>
      <c r="V21">
        <f t="shared" si="6"/>
        <v>18</v>
      </c>
      <c r="W21">
        <f t="shared" si="7"/>
        <v>19</v>
      </c>
      <c r="X21">
        <f t="shared" si="8"/>
        <v>988.80000000000018</v>
      </c>
      <c r="Y21">
        <f t="shared" si="9"/>
        <v>993.4000000000002</v>
      </c>
    </row>
    <row r="22" spans="1:28" x14ac:dyDescent="0.2">
      <c r="A22" t="s">
        <v>18</v>
      </c>
      <c r="B22">
        <v>40</v>
      </c>
      <c r="C22" s="3">
        <f t="shared" si="0"/>
        <v>20.577776</v>
      </c>
      <c r="D22" s="10">
        <f t="shared" si="1"/>
        <v>0.99705110880000014</v>
      </c>
      <c r="E22" s="10">
        <f t="shared" si="2"/>
        <v>0.99783111039999994</v>
      </c>
      <c r="F22" s="10">
        <f t="shared" si="3"/>
        <v>0.99700888640000029</v>
      </c>
      <c r="G22" s="10">
        <f t="shared" si="4"/>
        <v>0.99557110720000019</v>
      </c>
      <c r="H22" s="10">
        <f t="shared" si="5"/>
        <v>0.9985355535999999</v>
      </c>
      <c r="J22" s="12">
        <v>17</v>
      </c>
      <c r="K22" s="12">
        <v>10.6</v>
      </c>
      <c r="L22" s="12">
        <f t="shared" si="11"/>
        <v>983.10000000000014</v>
      </c>
      <c r="M22" s="12">
        <v>7.4</v>
      </c>
      <c r="N22" s="12">
        <f t="shared" si="12"/>
        <v>991.4</v>
      </c>
      <c r="O22" s="12">
        <v>13.2</v>
      </c>
      <c r="P22" s="12">
        <f t="shared" si="12"/>
        <v>979.00000000000023</v>
      </c>
      <c r="Q22" s="12">
        <v>10.5</v>
      </c>
      <c r="R22" s="12">
        <f t="shared" si="12"/>
        <v>976.3</v>
      </c>
      <c r="S22" s="12">
        <v>10.9</v>
      </c>
      <c r="T22" s="12">
        <f t="shared" si="12"/>
        <v>987.3</v>
      </c>
      <c r="V22">
        <f t="shared" si="6"/>
        <v>20</v>
      </c>
      <c r="W22">
        <f t="shared" si="7"/>
        <v>21</v>
      </c>
      <c r="X22">
        <f t="shared" si="8"/>
        <v>996.30000000000018</v>
      </c>
      <c r="Y22">
        <f t="shared" si="9"/>
        <v>997.60000000000014</v>
      </c>
    </row>
    <row r="23" spans="1:28" x14ac:dyDescent="0.2">
      <c r="A23" s="1" t="s">
        <v>2</v>
      </c>
      <c r="B23">
        <v>50</v>
      </c>
      <c r="C23" s="3">
        <f t="shared" si="0"/>
        <v>25.72222</v>
      </c>
      <c r="D23" s="10">
        <f t="shared" si="1"/>
        <v>0.99974444400000018</v>
      </c>
      <c r="E23" s="10">
        <f t="shared" si="2"/>
        <v>0.99983333199999991</v>
      </c>
      <c r="F23" s="10">
        <f t="shared" si="3"/>
        <v>1.0000722220000005</v>
      </c>
      <c r="G23" s="10">
        <f t="shared" si="4"/>
        <v>0.99990000000000023</v>
      </c>
      <c r="H23" s="10">
        <f t="shared" si="5"/>
        <v>1.0000000000000002</v>
      </c>
      <c r="J23" s="12">
        <v>18</v>
      </c>
      <c r="K23" s="12">
        <v>5.7</v>
      </c>
      <c r="L23" s="12">
        <f t="shared" si="11"/>
        <v>988.80000000000018</v>
      </c>
      <c r="M23" s="12">
        <v>3.3</v>
      </c>
      <c r="N23" s="12">
        <f t="shared" ref="N23:T34" si="13">N22+M23</f>
        <v>994.69999999999993</v>
      </c>
      <c r="O23" s="12">
        <v>7.1</v>
      </c>
      <c r="P23" s="12">
        <f t="shared" si="13"/>
        <v>986.10000000000025</v>
      </c>
      <c r="Q23" s="12">
        <v>7.1</v>
      </c>
      <c r="R23" s="12">
        <f t="shared" si="13"/>
        <v>983.4</v>
      </c>
      <c r="S23" s="12">
        <v>5.0999999999999996</v>
      </c>
      <c r="T23" s="12">
        <f t="shared" si="13"/>
        <v>992.4</v>
      </c>
      <c r="V23">
        <f t="shared" si="6"/>
        <v>25</v>
      </c>
      <c r="W23">
        <f t="shared" si="7"/>
        <v>26</v>
      </c>
      <c r="X23">
        <f t="shared" si="8"/>
        <v>999.60000000000014</v>
      </c>
      <c r="Y23">
        <f t="shared" si="9"/>
        <v>999.80000000000018</v>
      </c>
    </row>
    <row r="24" spans="1:28" x14ac:dyDescent="0.2">
      <c r="A24" t="s">
        <v>10</v>
      </c>
      <c r="B24">
        <v>30</v>
      </c>
      <c r="C24" s="3">
        <f t="shared" si="0"/>
        <v>15.433332</v>
      </c>
      <c r="D24" s="10">
        <f t="shared" si="1"/>
        <v>0.96326331160000023</v>
      </c>
      <c r="E24" s="10">
        <f t="shared" si="2"/>
        <v>0.97770998519999996</v>
      </c>
      <c r="F24" s="10">
        <f t="shared" si="3"/>
        <v>0.95491997440000009</v>
      </c>
      <c r="G24" s="10">
        <f t="shared" si="4"/>
        <v>0.95514664159999996</v>
      </c>
      <c r="H24" s="10">
        <f t="shared" si="5"/>
        <v>0.96767331279999991</v>
      </c>
      <c r="J24" s="12">
        <v>19</v>
      </c>
      <c r="K24" s="12">
        <v>4.5999999999999996</v>
      </c>
      <c r="L24" s="12">
        <f t="shared" si="11"/>
        <v>993.4000000000002</v>
      </c>
      <c r="M24" s="12">
        <v>1.6</v>
      </c>
      <c r="N24" s="12">
        <f t="shared" si="13"/>
        <v>996.3</v>
      </c>
      <c r="O24" s="12">
        <v>6.1</v>
      </c>
      <c r="P24" s="12">
        <f t="shared" si="13"/>
        <v>992.20000000000027</v>
      </c>
      <c r="Q24" s="12">
        <v>7.2</v>
      </c>
      <c r="R24" s="12">
        <f t="shared" si="13"/>
        <v>990.6</v>
      </c>
      <c r="S24" s="12">
        <v>3.2</v>
      </c>
      <c r="T24" s="12">
        <f t="shared" si="13"/>
        <v>995.6</v>
      </c>
      <c r="V24">
        <f t="shared" si="6"/>
        <v>15</v>
      </c>
      <c r="W24">
        <f t="shared" si="7"/>
        <v>16</v>
      </c>
      <c r="X24">
        <f t="shared" si="8"/>
        <v>956.20000000000016</v>
      </c>
      <c r="Y24">
        <f t="shared" si="9"/>
        <v>972.50000000000011</v>
      </c>
    </row>
    <row r="25" spans="1:28" x14ac:dyDescent="0.2">
      <c r="A25" s="1" t="s">
        <v>3</v>
      </c>
      <c r="B25">
        <v>40</v>
      </c>
      <c r="C25" s="3">
        <f t="shared" si="0"/>
        <v>20.577776</v>
      </c>
      <c r="D25" s="10">
        <f t="shared" si="1"/>
        <v>0.99705110880000014</v>
      </c>
      <c r="E25" s="10">
        <f t="shared" si="2"/>
        <v>0.99783111039999994</v>
      </c>
      <c r="F25" s="10">
        <f t="shared" si="3"/>
        <v>0.99700888640000029</v>
      </c>
      <c r="G25" s="10">
        <f t="shared" si="4"/>
        <v>0.99557110720000019</v>
      </c>
      <c r="H25" s="10">
        <f t="shared" si="5"/>
        <v>0.9985355535999999</v>
      </c>
      <c r="J25" s="12">
        <v>20</v>
      </c>
      <c r="K25" s="12">
        <v>2.9</v>
      </c>
      <c r="L25" s="12">
        <f t="shared" si="11"/>
        <v>996.30000000000018</v>
      </c>
      <c r="M25" s="12">
        <v>1.3</v>
      </c>
      <c r="N25" s="12">
        <f t="shared" si="13"/>
        <v>997.59999999999991</v>
      </c>
      <c r="O25" s="12">
        <v>4</v>
      </c>
      <c r="P25" s="12">
        <f t="shared" si="13"/>
        <v>996.20000000000027</v>
      </c>
      <c r="Q25" s="12">
        <v>3.7</v>
      </c>
      <c r="R25" s="12">
        <f t="shared" si="13"/>
        <v>994.30000000000007</v>
      </c>
      <c r="S25" s="12">
        <v>2.2999999999999998</v>
      </c>
      <c r="T25" s="12">
        <f t="shared" si="13"/>
        <v>997.9</v>
      </c>
      <c r="V25">
        <f t="shared" si="6"/>
        <v>20</v>
      </c>
      <c r="W25">
        <f t="shared" si="7"/>
        <v>21</v>
      </c>
      <c r="X25">
        <f t="shared" si="8"/>
        <v>996.30000000000018</v>
      </c>
      <c r="Y25">
        <f t="shared" si="9"/>
        <v>997.60000000000014</v>
      </c>
    </row>
    <row r="26" spans="1:28" x14ac:dyDescent="0.2">
      <c r="J26" s="12">
        <v>21</v>
      </c>
      <c r="K26" s="12">
        <v>1.3</v>
      </c>
      <c r="L26" s="12">
        <f t="shared" si="11"/>
        <v>997.60000000000014</v>
      </c>
      <c r="M26" s="12">
        <v>0.4</v>
      </c>
      <c r="N26" s="12">
        <f t="shared" si="13"/>
        <v>997.99999999999989</v>
      </c>
      <c r="O26" s="12">
        <v>1.4</v>
      </c>
      <c r="P26" s="12">
        <f t="shared" si="13"/>
        <v>997.60000000000025</v>
      </c>
      <c r="Q26" s="12">
        <v>2.2000000000000002</v>
      </c>
      <c r="R26" s="12">
        <f t="shared" si="13"/>
        <v>996.50000000000011</v>
      </c>
      <c r="S26" s="12">
        <v>1.1000000000000001</v>
      </c>
      <c r="T26" s="12">
        <f t="shared" si="13"/>
        <v>999</v>
      </c>
      <c r="V26">
        <f t="shared" si="6"/>
        <v>0</v>
      </c>
      <c r="W26">
        <f t="shared" si="7"/>
        <v>1</v>
      </c>
      <c r="X26">
        <f t="shared" si="8"/>
        <v>4.4000000000000004</v>
      </c>
      <c r="Y26">
        <f t="shared" si="9"/>
        <v>17.8</v>
      </c>
    </row>
    <row r="27" spans="1:28" x14ac:dyDescent="0.2">
      <c r="A27" s="1"/>
      <c r="D27" s="11"/>
      <c r="E27" s="8"/>
      <c r="J27" s="12">
        <v>22</v>
      </c>
      <c r="K27" s="12">
        <v>1</v>
      </c>
      <c r="L27" s="12">
        <f t="shared" si="11"/>
        <v>998.60000000000014</v>
      </c>
      <c r="M27" s="12">
        <v>0.6</v>
      </c>
      <c r="N27" s="12">
        <f t="shared" si="13"/>
        <v>998.59999999999991</v>
      </c>
      <c r="O27" s="12">
        <v>1.4</v>
      </c>
      <c r="P27" s="12">
        <f t="shared" si="13"/>
        <v>999.00000000000023</v>
      </c>
      <c r="Q27" s="12">
        <v>1.1000000000000001</v>
      </c>
      <c r="R27" s="12">
        <f t="shared" si="13"/>
        <v>997.60000000000014</v>
      </c>
      <c r="S27" s="12">
        <v>0.7</v>
      </c>
      <c r="T27" s="12">
        <f t="shared" si="13"/>
        <v>999.7</v>
      </c>
    </row>
    <row r="28" spans="1:28" x14ac:dyDescent="0.2">
      <c r="J28" s="12">
        <v>23</v>
      </c>
      <c r="K28" s="12">
        <v>0.6</v>
      </c>
      <c r="L28" s="12">
        <f t="shared" si="11"/>
        <v>999.20000000000016</v>
      </c>
      <c r="M28" s="12">
        <v>0.1</v>
      </c>
      <c r="N28" s="12">
        <f t="shared" si="13"/>
        <v>998.69999999999993</v>
      </c>
      <c r="O28" s="12">
        <v>0.7</v>
      </c>
      <c r="P28" s="12">
        <f t="shared" si="13"/>
        <v>999.70000000000027</v>
      </c>
      <c r="Q28" s="12">
        <v>1.5</v>
      </c>
      <c r="R28" s="12">
        <f t="shared" si="13"/>
        <v>999.10000000000014</v>
      </c>
      <c r="S28" s="12">
        <v>0.2</v>
      </c>
      <c r="T28" s="12">
        <f t="shared" si="13"/>
        <v>999.90000000000009</v>
      </c>
    </row>
    <row r="29" spans="1:28" x14ac:dyDescent="0.2">
      <c r="A29" s="1"/>
      <c r="J29" s="12">
        <v>24</v>
      </c>
      <c r="K29" s="12">
        <v>0.3</v>
      </c>
      <c r="L29" s="12">
        <f t="shared" si="11"/>
        <v>999.50000000000011</v>
      </c>
      <c r="M29" s="12">
        <v>0.4</v>
      </c>
      <c r="N29" s="12">
        <f t="shared" si="13"/>
        <v>999.09999999999991</v>
      </c>
      <c r="O29" s="12">
        <v>0.2</v>
      </c>
      <c r="P29" s="12">
        <f t="shared" si="13"/>
        <v>999.90000000000032</v>
      </c>
      <c r="Q29" s="12">
        <v>0.7</v>
      </c>
      <c r="R29" s="12">
        <f t="shared" si="13"/>
        <v>999.80000000000018</v>
      </c>
      <c r="S29" s="12">
        <v>0</v>
      </c>
      <c r="T29" s="12">
        <f t="shared" si="13"/>
        <v>999.90000000000009</v>
      </c>
    </row>
    <row r="30" spans="1:28" x14ac:dyDescent="0.2">
      <c r="J30" s="12">
        <v>25</v>
      </c>
      <c r="K30" s="12">
        <v>0.1</v>
      </c>
      <c r="L30" s="12">
        <f t="shared" si="11"/>
        <v>999.60000000000014</v>
      </c>
      <c r="M30" s="12">
        <v>0.3</v>
      </c>
      <c r="N30" s="12">
        <f t="shared" si="13"/>
        <v>999.39999999999986</v>
      </c>
      <c r="O30" s="12">
        <v>0.1</v>
      </c>
      <c r="P30" s="12">
        <f t="shared" si="13"/>
        <v>1000.0000000000003</v>
      </c>
      <c r="Q30" s="12">
        <v>0.1</v>
      </c>
      <c r="R30" s="12">
        <f t="shared" si="13"/>
        <v>999.9000000000002</v>
      </c>
      <c r="S30" s="12">
        <v>0.1</v>
      </c>
      <c r="T30" s="12">
        <f t="shared" si="13"/>
        <v>1000.0000000000001</v>
      </c>
    </row>
    <row r="31" spans="1:28" x14ac:dyDescent="0.2">
      <c r="J31" s="12">
        <v>26</v>
      </c>
      <c r="K31" s="12">
        <v>0.2</v>
      </c>
      <c r="L31" s="12">
        <f t="shared" si="11"/>
        <v>999.80000000000018</v>
      </c>
      <c r="M31" s="12">
        <v>0.6</v>
      </c>
      <c r="N31" s="12">
        <f t="shared" si="13"/>
        <v>999.99999999999989</v>
      </c>
      <c r="O31" s="12">
        <v>0.1</v>
      </c>
      <c r="P31" s="12">
        <f t="shared" si="13"/>
        <v>1000.1000000000004</v>
      </c>
      <c r="Q31" s="12">
        <v>0</v>
      </c>
      <c r="R31" s="12">
        <f t="shared" si="13"/>
        <v>999.9000000000002</v>
      </c>
      <c r="S31" s="12">
        <v>0</v>
      </c>
      <c r="T31" s="12">
        <f t="shared" si="13"/>
        <v>1000.0000000000001</v>
      </c>
    </row>
    <row r="32" spans="1:28" x14ac:dyDescent="0.2">
      <c r="J32" s="12">
        <v>27</v>
      </c>
      <c r="K32" s="12">
        <v>0</v>
      </c>
      <c r="L32" s="12">
        <f t="shared" si="11"/>
        <v>999.80000000000018</v>
      </c>
      <c r="M32" s="12">
        <v>0</v>
      </c>
      <c r="N32" s="12">
        <f t="shared" si="13"/>
        <v>999.99999999999989</v>
      </c>
      <c r="O32" s="12">
        <v>0</v>
      </c>
      <c r="P32" s="12">
        <f t="shared" si="13"/>
        <v>1000.1000000000004</v>
      </c>
      <c r="Q32" s="12">
        <v>0</v>
      </c>
      <c r="R32" s="12">
        <f t="shared" si="13"/>
        <v>999.9000000000002</v>
      </c>
      <c r="S32" s="12">
        <v>0</v>
      </c>
      <c r="T32" s="12">
        <f t="shared" si="13"/>
        <v>1000.0000000000001</v>
      </c>
    </row>
    <row r="33" spans="10:20" x14ac:dyDescent="0.2">
      <c r="J33" s="12">
        <v>28</v>
      </c>
      <c r="K33" s="12">
        <v>0.1</v>
      </c>
      <c r="L33" s="12">
        <f t="shared" si="11"/>
        <v>999.9000000000002</v>
      </c>
      <c r="M33" s="12">
        <v>0</v>
      </c>
      <c r="N33" s="12">
        <f t="shared" si="13"/>
        <v>999.99999999999989</v>
      </c>
      <c r="O33" s="12">
        <v>0.2</v>
      </c>
      <c r="P33" s="12">
        <f t="shared" si="13"/>
        <v>1000.3000000000004</v>
      </c>
      <c r="Q33" s="12">
        <v>0</v>
      </c>
      <c r="R33" s="12">
        <f t="shared" si="13"/>
        <v>999.9000000000002</v>
      </c>
      <c r="S33" s="12">
        <v>0</v>
      </c>
      <c r="T33" s="12">
        <f t="shared" si="13"/>
        <v>1000.0000000000001</v>
      </c>
    </row>
    <row r="34" spans="10:20" x14ac:dyDescent="0.2">
      <c r="J34" s="12">
        <v>29</v>
      </c>
      <c r="K34" s="12">
        <v>0</v>
      </c>
      <c r="L34" s="12">
        <f t="shared" si="11"/>
        <v>999.9000000000002</v>
      </c>
      <c r="M34" s="12">
        <v>0</v>
      </c>
      <c r="N34" s="12">
        <f t="shared" si="13"/>
        <v>999.99999999999989</v>
      </c>
      <c r="O34" s="12">
        <v>0</v>
      </c>
      <c r="P34" s="12">
        <f t="shared" si="13"/>
        <v>1000.3000000000004</v>
      </c>
      <c r="Q34" s="12">
        <v>0.1</v>
      </c>
      <c r="R34" s="12">
        <f t="shared" si="13"/>
        <v>1000.0000000000002</v>
      </c>
      <c r="S34" s="12">
        <v>0</v>
      </c>
      <c r="T34" s="12">
        <f t="shared" si="13"/>
        <v>1000.0000000000001</v>
      </c>
    </row>
    <row r="37" spans="10:20" x14ac:dyDescent="0.2">
      <c r="K37">
        <f t="array" ref="K37">SUM(IF(K5:K34&lt;1,L5:L34,0))</f>
        <v>6997.7000000000016</v>
      </c>
      <c r="L37" t="s">
        <v>71</v>
      </c>
    </row>
    <row r="38" spans="10:20" x14ac:dyDescent="0.2">
      <c r="K38">
        <f>SUMIF(K5:K34,0.6,L5:L34)</f>
        <v>999.20000000000016</v>
      </c>
    </row>
  </sheetData>
  <mergeCells count="1">
    <mergeCell ref="D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T43"/>
  <sheetViews>
    <sheetView zoomScale="115" zoomScaleNormal="115" workbookViewId="0">
      <selection activeCell="A36" sqref="A36"/>
    </sheetView>
  </sheetViews>
  <sheetFormatPr defaultRowHeight="12.75" x14ac:dyDescent="0.2"/>
  <cols>
    <col min="1" max="1" width="22" style="14" customWidth="1"/>
    <col min="2" max="2" width="28.42578125" style="14" bestFit="1" customWidth="1"/>
    <col min="3" max="3" width="6.5703125" style="14" customWidth="1"/>
    <col min="4" max="8" width="9.140625" style="14" customWidth="1"/>
    <col min="9" max="9" width="9.140625" style="14"/>
    <col min="10" max="10" width="6" style="14" bestFit="1" customWidth="1"/>
    <col min="11" max="11" width="6.7109375" style="14" bestFit="1" customWidth="1"/>
    <col min="12" max="12" width="6" style="14" bestFit="1" customWidth="1"/>
    <col min="13" max="13" width="8" style="14" bestFit="1" customWidth="1"/>
    <col min="14" max="14" width="6" style="14" bestFit="1" customWidth="1"/>
    <col min="15" max="15" width="8.28515625" style="14" bestFit="1" customWidth="1"/>
    <col min="16" max="16" width="6" style="14" bestFit="1" customWidth="1"/>
    <col min="17" max="17" width="7.7109375" style="14" bestFit="1" customWidth="1"/>
    <col min="18" max="18" width="7" style="14" bestFit="1" customWidth="1"/>
    <col min="19" max="19" width="7.85546875" style="14" bestFit="1" customWidth="1"/>
    <col min="20" max="20" width="7" style="14" bestFit="1" customWidth="1"/>
    <col min="21" max="16384" width="9.140625" style="14"/>
  </cols>
  <sheetData>
    <row r="2" spans="1:20" x14ac:dyDescent="0.2">
      <c r="A2" s="13" t="s">
        <v>68</v>
      </c>
      <c r="D2" s="15" t="str">
        <f>K4</f>
        <v>Annual</v>
      </c>
      <c r="E2" s="15" t="str">
        <f>M4</f>
        <v>Dec-Feb</v>
      </c>
      <c r="F2" s="15" t="str">
        <f>O4</f>
        <v>Mar-May</v>
      </c>
      <c r="G2" s="15" t="str">
        <f>Q4</f>
        <v>Jun-Aug</v>
      </c>
      <c r="H2" s="15" t="str">
        <f>S4</f>
        <v>Sep-Nov</v>
      </c>
    </row>
    <row r="3" spans="1:20" x14ac:dyDescent="0.2">
      <c r="A3" s="13"/>
      <c r="D3" s="21"/>
      <c r="E3" s="21"/>
      <c r="F3" s="21"/>
      <c r="G3" s="21"/>
      <c r="H3" s="21"/>
      <c r="I3" s="21"/>
      <c r="K3" s="14">
        <v>208</v>
      </c>
      <c r="M3" s="14">
        <f>K3+1</f>
        <v>209</v>
      </c>
      <c r="O3" s="14">
        <f>M3+1</f>
        <v>210</v>
      </c>
      <c r="Q3" s="14">
        <f>O3+1</f>
        <v>211</v>
      </c>
      <c r="S3" s="14">
        <f>Q3+1</f>
        <v>212</v>
      </c>
    </row>
    <row r="4" spans="1:20" x14ac:dyDescent="0.2">
      <c r="A4" s="13"/>
      <c r="D4" s="20"/>
      <c r="E4" s="20"/>
      <c r="F4" s="20"/>
      <c r="G4" s="20"/>
      <c r="H4" s="20"/>
      <c r="J4" s="14" t="s">
        <v>67</v>
      </c>
      <c r="K4" s="14" t="s">
        <v>66</v>
      </c>
      <c r="M4" s="14" t="s">
        <v>62</v>
      </c>
      <c r="O4" s="14" t="s">
        <v>63</v>
      </c>
      <c r="Q4" s="14" t="s">
        <v>64</v>
      </c>
      <c r="S4" s="14" t="s">
        <v>65</v>
      </c>
    </row>
    <row r="5" spans="1:20" x14ac:dyDescent="0.2">
      <c r="A5" s="13"/>
      <c r="C5" s="14" t="s">
        <v>37</v>
      </c>
      <c r="J5" s="14">
        <v>0</v>
      </c>
      <c r="K5" s="14">
        <v>0</v>
      </c>
      <c r="L5" s="14">
        <f>K5</f>
        <v>0</v>
      </c>
      <c r="M5" s="14">
        <v>0</v>
      </c>
      <c r="N5" s="14">
        <f>M5</f>
        <v>0</v>
      </c>
      <c r="O5" s="14">
        <v>0</v>
      </c>
      <c r="P5" s="14">
        <f>O5</f>
        <v>0</v>
      </c>
      <c r="Q5" s="14">
        <v>0</v>
      </c>
      <c r="R5" s="14">
        <f>Q5</f>
        <v>0</v>
      </c>
      <c r="S5" s="14">
        <v>0</v>
      </c>
      <c r="T5" s="14">
        <f>S5</f>
        <v>0</v>
      </c>
    </row>
    <row r="6" spans="1:20" x14ac:dyDescent="0.2">
      <c r="A6" s="13"/>
      <c r="C6" s="14" t="s">
        <v>38</v>
      </c>
      <c r="J6" s="14">
        <v>0.5</v>
      </c>
      <c r="K6" s="14">
        <v>0.3</v>
      </c>
      <c r="L6" s="14">
        <f>L5+K6</f>
        <v>0.3</v>
      </c>
      <c r="M6" s="14">
        <v>1.2</v>
      </c>
      <c r="N6" s="14">
        <f>N5+M6</f>
        <v>1.2</v>
      </c>
      <c r="O6" s="14">
        <v>0</v>
      </c>
      <c r="P6" s="14">
        <f>P5+O6</f>
        <v>0</v>
      </c>
      <c r="Q6" s="14">
        <v>0</v>
      </c>
      <c r="R6" s="14">
        <f>R5+Q6</f>
        <v>0</v>
      </c>
      <c r="S6" s="14">
        <v>0</v>
      </c>
      <c r="T6" s="14">
        <f>T5+S6</f>
        <v>0</v>
      </c>
    </row>
    <row r="7" spans="1:20" x14ac:dyDescent="0.2">
      <c r="A7" s="13" t="s">
        <v>0</v>
      </c>
      <c r="C7" s="13">
        <v>5.6</v>
      </c>
      <c r="D7" s="18">
        <f>(($C7-INDEX($J$5:$J$30,MATCH($C7,$J$5:$J$30)))/(INDEX($J$5:$J$30,MATCH($C7,$J$5:$J$30)+1)-INDEX($J$5:$J$30,MATCH($C7,$J$5:$J$30)))*(INDEX($L$5:$L$30,MATCH($C7,$J$5:$J$30)+1)-INDEX($L$5:$L$30,MATCH($C7,$J$5:$J$30)))+INDEX($L$5:$L$30,MATCH($C7,$J$5:$J$30)))/1000</f>
        <v>0.97420000000000007</v>
      </c>
      <c r="E7" s="18">
        <f>(($C7-INDEX($J$5:$J$30,MATCH($C7,$J$5:$J$30)))/(INDEX($J$5:$J$30,MATCH($C7,$J$5:$J$30)+1)-INDEX($J$5:$J$30,MATCH($C7,$J$5:$J$30)))*(INDEX($N$5:$N$30,MATCH($C7,$J$5:$J$30)+1)-INDEX($N$5:$N$30,MATCH($C7,$J$5:$J$30)))+INDEX($N$5:$N$30,MATCH($C7,$J$5:$J$30)))/1000</f>
        <v>0.98982000000000014</v>
      </c>
      <c r="F7" s="18">
        <f>(($C7-INDEX($J$5:$J$30,MATCH($C7,$J$5:$J$30)))/(INDEX($J$5:$J$30,MATCH($C7,$J$5:$J$30)+1)-INDEX($J$5:$J$30,MATCH($C7,$J$5:$J$30)))*(INDEX($P$5:$P$30,MATCH($C7,$J$5:$J$30)+1)-INDEX($P$5:$P$30,MATCH($C7,$J$5:$J$30)))+INDEX($P$5:$P$30,MATCH($C7,$J$5:$J$30)))/1000</f>
        <v>0.96727999999999992</v>
      </c>
      <c r="G7" s="18">
        <f>(($C7-INDEX($J$5:$J$30,MATCH($C7,$J$5:$J$30)))/(INDEX($J$5:$J$30,MATCH($C7,$J$5:$J$30)+1)-INDEX($J$5:$J$30,MATCH($C7,$J$5:$J$30)))*(INDEX($R$5:$R$30,MATCH($C7,$J$5:$J$30)+1)-INDEX($R$5:$R$30,MATCH($C7,$J$5:$J$30)))+INDEX($R$5:$R$30,MATCH($C7,$J$5:$J$30)))/1000</f>
        <v>0.95957999999999999</v>
      </c>
      <c r="H7" s="18">
        <f>(($C7-INDEX($J$5:$J$30,MATCH($C7,$J$5:$J$30)))/(INDEX($J$5:$J$30,MATCH($C7,$J$5:$J$30)+1)-INDEX($J$5:$J$30,MATCH($C7,$J$5:$J$30)))*(INDEX($T$5:$T$30,MATCH($C7,$J$5:$J$30)+1)-INDEX($T$5:$T$30,MATCH($C7,$J$5:$J$30)))+INDEX($T$5:$T$30,MATCH($C7,$J$5:$J$30)))/1000</f>
        <v>0.98204000000000036</v>
      </c>
      <c r="J7" s="14">
        <v>1</v>
      </c>
      <c r="K7" s="14">
        <v>10.1</v>
      </c>
      <c r="L7" s="14">
        <f t="shared" ref="L7:L30" si="0">L6+K7</f>
        <v>10.4</v>
      </c>
      <c r="M7" s="14">
        <v>25.8</v>
      </c>
      <c r="N7" s="14">
        <f t="shared" ref="N7:N30" si="1">N6+M7</f>
        <v>27</v>
      </c>
      <c r="O7" s="14">
        <v>1.8</v>
      </c>
      <c r="P7" s="14">
        <f t="shared" ref="P7:P30" si="2">P6+O7</f>
        <v>1.8</v>
      </c>
      <c r="Q7" s="14">
        <v>8</v>
      </c>
      <c r="R7" s="14">
        <f t="shared" ref="R7:R30" si="3">R6+Q7</f>
        <v>8</v>
      </c>
      <c r="S7" s="14">
        <v>5</v>
      </c>
      <c r="T7" s="14">
        <f t="shared" ref="T7:T30" si="4">T6+S7</f>
        <v>5</v>
      </c>
    </row>
    <row r="8" spans="1:20" x14ac:dyDescent="0.2">
      <c r="A8" s="14" t="s">
        <v>5</v>
      </c>
      <c r="C8" s="13">
        <v>5.6</v>
      </c>
      <c r="D8" s="18">
        <f t="shared" ref="D8:D36" si="5">(($C8-INDEX($J$5:$J$30,MATCH($C8,$J$5:$J$30)))/(INDEX($J$5:$J$30,MATCH($C8,$J$5:$J$30)+1)-INDEX($J$5:$J$30,MATCH($C8,$J$5:$J$30)))*(INDEX($L$5:$L$30,MATCH($C8,$J$5:$J$30)+1)-INDEX($L$5:$L$30,MATCH($C8,$J$5:$J$30)))+INDEX($L$5:$L$30,MATCH($C8,$J$5:$J$30)))/1000</f>
        <v>0.97420000000000007</v>
      </c>
      <c r="E8" s="18">
        <f t="shared" ref="E8:E36" si="6">(($C8-INDEX($J$5:$J$30,MATCH($C8,$J$5:$J$30)))/(INDEX($J$5:$J$30,MATCH($C8,$J$5:$J$30)+1)-INDEX($J$5:$J$30,MATCH($C8,$J$5:$J$30)))*(INDEX($N$5:$N$30,MATCH($C8,$J$5:$J$30)+1)-INDEX($N$5:$N$30,MATCH($C8,$J$5:$J$30)))+INDEX($N$5:$N$30,MATCH($C8,$J$5:$J$30)))/1000</f>
        <v>0.98982000000000014</v>
      </c>
      <c r="F8" s="18">
        <f t="shared" ref="F8:F36" si="7">(($C8-INDEX($J$5:$J$30,MATCH($C8,$J$5:$J$30)))/(INDEX($J$5:$J$30,MATCH($C8,$J$5:$J$30)+1)-INDEX($J$5:$J$30,MATCH($C8,$J$5:$J$30)))*(INDEX($P$5:$P$30,MATCH($C8,$J$5:$J$30)+1)-INDEX($P$5:$P$30,MATCH($C8,$J$5:$J$30)))+INDEX($P$5:$P$30,MATCH($C8,$J$5:$J$30)))/1000</f>
        <v>0.96727999999999992</v>
      </c>
      <c r="G8" s="18">
        <f t="shared" ref="G8:G36" si="8">(($C8-INDEX($J$5:$J$30,MATCH($C8,$J$5:$J$30)))/(INDEX($J$5:$J$30,MATCH($C8,$J$5:$J$30)+1)-INDEX($J$5:$J$30,MATCH($C8,$J$5:$J$30)))*(INDEX($R$5:$R$30,MATCH($C8,$J$5:$J$30)+1)-INDEX($R$5:$R$30,MATCH($C8,$J$5:$J$30)))+INDEX($R$5:$R$30,MATCH($C8,$J$5:$J$30)))/1000</f>
        <v>0.95957999999999999</v>
      </c>
      <c r="H8" s="18">
        <f t="shared" ref="H8:H36" si="9">(($C8-INDEX($J$5:$J$30,MATCH($C8,$J$5:$J$30)))/(INDEX($J$5:$J$30,MATCH($C8,$J$5:$J$30)+1)-INDEX($J$5:$J$30,MATCH($C8,$J$5:$J$30)))*(INDEX($T$5:$T$30,MATCH($C8,$J$5:$J$30)+1)-INDEX($T$5:$T$30,MATCH($C8,$J$5:$J$30)))+INDEX($T$5:$T$30,MATCH($C8,$J$5:$J$30)))/1000</f>
        <v>0.98204000000000036</v>
      </c>
      <c r="J8" s="14">
        <v>1.5</v>
      </c>
      <c r="K8" s="14">
        <v>91.2</v>
      </c>
      <c r="L8" s="14">
        <f t="shared" si="0"/>
        <v>101.60000000000001</v>
      </c>
      <c r="M8" s="14">
        <v>169.4</v>
      </c>
      <c r="N8" s="14">
        <f t="shared" si="1"/>
        <v>196.4</v>
      </c>
      <c r="O8" s="14">
        <v>62.6</v>
      </c>
      <c r="P8" s="14">
        <f t="shared" si="2"/>
        <v>64.400000000000006</v>
      </c>
      <c r="Q8" s="14">
        <v>52.2</v>
      </c>
      <c r="R8" s="14">
        <f t="shared" si="3"/>
        <v>60.2</v>
      </c>
      <c r="S8" s="14">
        <v>82.3</v>
      </c>
      <c r="T8" s="14">
        <f t="shared" si="4"/>
        <v>87.3</v>
      </c>
    </row>
    <row r="9" spans="1:20" x14ac:dyDescent="0.2">
      <c r="A9" s="14" t="s">
        <v>19</v>
      </c>
      <c r="C9" s="13">
        <v>5.6</v>
      </c>
      <c r="D9" s="18">
        <f t="shared" si="5"/>
        <v>0.97420000000000007</v>
      </c>
      <c r="E9" s="18">
        <f t="shared" si="6"/>
        <v>0.98982000000000014</v>
      </c>
      <c r="F9" s="18">
        <f t="shared" si="7"/>
        <v>0.96727999999999992</v>
      </c>
      <c r="G9" s="18">
        <f t="shared" si="8"/>
        <v>0.95957999999999999</v>
      </c>
      <c r="H9" s="18">
        <f t="shared" si="9"/>
        <v>0.98204000000000036</v>
      </c>
      <c r="J9" s="14">
        <v>2</v>
      </c>
      <c r="K9" s="14">
        <v>217.7</v>
      </c>
      <c r="L9" s="14">
        <f t="shared" si="0"/>
        <v>319.3</v>
      </c>
      <c r="M9" s="14">
        <v>287.7</v>
      </c>
      <c r="N9" s="14">
        <f t="shared" si="1"/>
        <v>484.1</v>
      </c>
      <c r="O9" s="14">
        <v>209.9</v>
      </c>
      <c r="P9" s="14">
        <f t="shared" si="2"/>
        <v>274.3</v>
      </c>
      <c r="Q9" s="14">
        <v>161.6</v>
      </c>
      <c r="R9" s="14">
        <f t="shared" si="3"/>
        <v>221.8</v>
      </c>
      <c r="S9" s="14">
        <v>213.3</v>
      </c>
      <c r="T9" s="14">
        <f t="shared" si="4"/>
        <v>300.60000000000002</v>
      </c>
    </row>
    <row r="10" spans="1:20" x14ac:dyDescent="0.2">
      <c r="A10" s="14" t="s">
        <v>20</v>
      </c>
      <c r="C10" s="13">
        <v>5.6</v>
      </c>
      <c r="D10" s="18">
        <f t="shared" si="5"/>
        <v>0.97420000000000007</v>
      </c>
      <c r="E10" s="18">
        <f t="shared" si="6"/>
        <v>0.98982000000000014</v>
      </c>
      <c r="F10" s="18">
        <f t="shared" si="7"/>
        <v>0.96727999999999992</v>
      </c>
      <c r="G10" s="18">
        <f t="shared" si="8"/>
        <v>0.95957999999999999</v>
      </c>
      <c r="H10" s="18">
        <f t="shared" si="9"/>
        <v>0.98204000000000036</v>
      </c>
      <c r="J10" s="14">
        <v>2.5</v>
      </c>
      <c r="K10" s="14">
        <v>241.8</v>
      </c>
      <c r="L10" s="14">
        <f t="shared" si="0"/>
        <v>561.1</v>
      </c>
      <c r="M10" s="14">
        <v>236.8</v>
      </c>
      <c r="N10" s="14">
        <f t="shared" si="1"/>
        <v>720.90000000000009</v>
      </c>
      <c r="O10" s="14">
        <v>242.2</v>
      </c>
      <c r="P10" s="14">
        <f t="shared" si="2"/>
        <v>516.5</v>
      </c>
      <c r="Q10" s="14">
        <v>217.5</v>
      </c>
      <c r="R10" s="14">
        <f t="shared" si="3"/>
        <v>439.3</v>
      </c>
      <c r="S10" s="14">
        <v>270.8</v>
      </c>
      <c r="T10" s="14">
        <f t="shared" si="4"/>
        <v>571.40000000000009</v>
      </c>
    </row>
    <row r="11" spans="1:20" x14ac:dyDescent="0.2">
      <c r="A11" s="13" t="s">
        <v>1</v>
      </c>
      <c r="C11" s="13">
        <v>2.8</v>
      </c>
      <c r="D11" s="18">
        <f t="shared" si="5"/>
        <v>0.66393999999999997</v>
      </c>
      <c r="E11" s="18">
        <f t="shared" si="6"/>
        <v>0.80076000000000014</v>
      </c>
      <c r="F11" s="18">
        <f t="shared" si="7"/>
        <v>0.61885999999999985</v>
      </c>
      <c r="G11" s="18">
        <f t="shared" si="8"/>
        <v>0.56037999999999999</v>
      </c>
      <c r="H11" s="18">
        <f t="shared" si="9"/>
        <v>0.67892000000000008</v>
      </c>
      <c r="J11" s="14">
        <v>3</v>
      </c>
      <c r="K11" s="14">
        <v>171.4</v>
      </c>
      <c r="L11" s="14">
        <f t="shared" si="0"/>
        <v>732.5</v>
      </c>
      <c r="M11" s="14">
        <v>133.1</v>
      </c>
      <c r="N11" s="14">
        <f t="shared" si="1"/>
        <v>854.00000000000011</v>
      </c>
      <c r="O11" s="14">
        <v>170.6</v>
      </c>
      <c r="P11" s="14">
        <f t="shared" si="2"/>
        <v>687.1</v>
      </c>
      <c r="Q11" s="14">
        <v>201.8</v>
      </c>
      <c r="R11" s="14">
        <f t="shared" si="3"/>
        <v>641.1</v>
      </c>
      <c r="S11" s="14">
        <v>179.2</v>
      </c>
      <c r="T11" s="14">
        <f t="shared" si="4"/>
        <v>750.60000000000014</v>
      </c>
    </row>
    <row r="12" spans="1:20" x14ac:dyDescent="0.2">
      <c r="A12" s="14" t="s">
        <v>6</v>
      </c>
      <c r="C12" s="13">
        <v>2.8</v>
      </c>
      <c r="D12" s="18">
        <f t="shared" si="5"/>
        <v>0.66393999999999997</v>
      </c>
      <c r="E12" s="18">
        <f t="shared" si="6"/>
        <v>0.80076000000000014</v>
      </c>
      <c r="F12" s="18">
        <f t="shared" si="7"/>
        <v>0.61885999999999985</v>
      </c>
      <c r="G12" s="18">
        <f t="shared" si="8"/>
        <v>0.56037999999999999</v>
      </c>
      <c r="H12" s="18">
        <f t="shared" si="9"/>
        <v>0.67892000000000008</v>
      </c>
      <c r="J12" s="14">
        <v>3.5</v>
      </c>
      <c r="K12" s="14">
        <v>107.6</v>
      </c>
      <c r="L12" s="14">
        <f t="shared" si="0"/>
        <v>840.1</v>
      </c>
      <c r="M12" s="14">
        <v>64.400000000000006</v>
      </c>
      <c r="N12" s="14">
        <f t="shared" si="1"/>
        <v>918.40000000000009</v>
      </c>
      <c r="O12" s="14">
        <v>122.3</v>
      </c>
      <c r="P12" s="14">
        <f t="shared" si="2"/>
        <v>809.4</v>
      </c>
      <c r="Q12" s="14">
        <v>137.6</v>
      </c>
      <c r="R12" s="14">
        <f t="shared" si="3"/>
        <v>778.7</v>
      </c>
      <c r="S12" s="14">
        <v>106</v>
      </c>
      <c r="T12" s="14">
        <f t="shared" si="4"/>
        <v>856.60000000000014</v>
      </c>
    </row>
    <row r="13" spans="1:20" x14ac:dyDescent="0.2">
      <c r="A13" s="14" t="s">
        <v>7</v>
      </c>
      <c r="C13" s="13">
        <v>2.8</v>
      </c>
      <c r="D13" s="18">
        <f t="shared" si="5"/>
        <v>0.66393999999999997</v>
      </c>
      <c r="E13" s="18">
        <f t="shared" si="6"/>
        <v>0.80076000000000014</v>
      </c>
      <c r="F13" s="18">
        <f t="shared" si="7"/>
        <v>0.61885999999999985</v>
      </c>
      <c r="G13" s="18">
        <f t="shared" si="8"/>
        <v>0.56037999999999999</v>
      </c>
      <c r="H13" s="18">
        <f t="shared" si="9"/>
        <v>0.67892000000000008</v>
      </c>
      <c r="J13" s="14">
        <v>4</v>
      </c>
      <c r="K13" s="14">
        <v>56.6</v>
      </c>
      <c r="L13" s="14">
        <f t="shared" si="0"/>
        <v>896.7</v>
      </c>
      <c r="M13" s="14">
        <v>30.9</v>
      </c>
      <c r="N13" s="14">
        <f t="shared" si="1"/>
        <v>949.30000000000007</v>
      </c>
      <c r="O13" s="14">
        <v>65.5</v>
      </c>
      <c r="P13" s="14">
        <f t="shared" si="2"/>
        <v>874.9</v>
      </c>
      <c r="Q13" s="14">
        <v>79</v>
      </c>
      <c r="R13" s="14">
        <f t="shared" si="3"/>
        <v>857.7</v>
      </c>
      <c r="S13" s="14">
        <v>50.7</v>
      </c>
      <c r="T13" s="14">
        <f t="shared" si="4"/>
        <v>907.30000000000018</v>
      </c>
    </row>
    <row r="14" spans="1:20" x14ac:dyDescent="0.2">
      <c r="A14" s="14" t="s">
        <v>8</v>
      </c>
      <c r="C14" s="13">
        <v>2.8</v>
      </c>
      <c r="D14" s="18">
        <f t="shared" si="5"/>
        <v>0.66393999999999997</v>
      </c>
      <c r="E14" s="18">
        <f t="shared" si="6"/>
        <v>0.80076000000000014</v>
      </c>
      <c r="F14" s="18">
        <f t="shared" si="7"/>
        <v>0.61885999999999985</v>
      </c>
      <c r="G14" s="18">
        <f t="shared" si="8"/>
        <v>0.56037999999999999</v>
      </c>
      <c r="H14" s="18">
        <f t="shared" si="9"/>
        <v>0.67892000000000008</v>
      </c>
      <c r="J14" s="14">
        <v>4.5</v>
      </c>
      <c r="K14" s="14">
        <v>37.4</v>
      </c>
      <c r="L14" s="14">
        <f t="shared" si="0"/>
        <v>934.1</v>
      </c>
      <c r="M14" s="14">
        <v>20.5</v>
      </c>
      <c r="N14" s="14">
        <f t="shared" si="1"/>
        <v>969.80000000000007</v>
      </c>
      <c r="O14" s="14">
        <v>40.1</v>
      </c>
      <c r="P14" s="14">
        <f t="shared" si="2"/>
        <v>915</v>
      </c>
      <c r="Q14" s="14">
        <v>52.5</v>
      </c>
      <c r="R14" s="14">
        <f t="shared" si="3"/>
        <v>910.2</v>
      </c>
      <c r="S14" s="14">
        <v>36.1</v>
      </c>
      <c r="T14" s="14">
        <f t="shared" si="4"/>
        <v>943.4000000000002</v>
      </c>
    </row>
    <row r="15" spans="1:20" x14ac:dyDescent="0.2">
      <c r="A15" s="14" t="s">
        <v>9</v>
      </c>
      <c r="C15" s="13">
        <v>2.8</v>
      </c>
      <c r="D15" s="18">
        <f t="shared" si="5"/>
        <v>0.66393999999999997</v>
      </c>
      <c r="E15" s="18">
        <f t="shared" si="6"/>
        <v>0.80076000000000014</v>
      </c>
      <c r="F15" s="18">
        <f t="shared" si="7"/>
        <v>0.61885999999999985</v>
      </c>
      <c r="G15" s="18">
        <f t="shared" si="8"/>
        <v>0.56037999999999999</v>
      </c>
      <c r="H15" s="18">
        <f t="shared" si="9"/>
        <v>0.67892000000000008</v>
      </c>
      <c r="J15" s="14">
        <v>5</v>
      </c>
      <c r="K15" s="14">
        <v>23.1</v>
      </c>
      <c r="L15" s="14">
        <f t="shared" si="0"/>
        <v>957.2</v>
      </c>
      <c r="M15" s="14">
        <v>12.1</v>
      </c>
      <c r="N15" s="14">
        <f t="shared" si="1"/>
        <v>981.90000000000009</v>
      </c>
      <c r="O15" s="14">
        <v>30.6</v>
      </c>
      <c r="P15" s="14">
        <f t="shared" si="2"/>
        <v>945.6</v>
      </c>
      <c r="Q15" s="14">
        <v>28.4</v>
      </c>
      <c r="R15" s="14">
        <f t="shared" si="3"/>
        <v>938.6</v>
      </c>
      <c r="S15" s="14">
        <v>21.2</v>
      </c>
      <c r="T15" s="14">
        <f t="shared" si="4"/>
        <v>964.60000000000025</v>
      </c>
    </row>
    <row r="16" spans="1:20" x14ac:dyDescent="0.2">
      <c r="A16" s="14" t="s">
        <v>53</v>
      </c>
      <c r="C16" s="13">
        <v>2.8</v>
      </c>
      <c r="D16" s="18">
        <f t="shared" si="5"/>
        <v>0.66393999999999997</v>
      </c>
      <c r="E16" s="18">
        <f t="shared" si="6"/>
        <v>0.80076000000000014</v>
      </c>
      <c r="F16" s="18">
        <f t="shared" si="7"/>
        <v>0.61885999999999985</v>
      </c>
      <c r="G16" s="18">
        <f t="shared" si="8"/>
        <v>0.56037999999999999</v>
      </c>
      <c r="H16" s="18">
        <f t="shared" si="9"/>
        <v>0.67892000000000008</v>
      </c>
      <c r="J16" s="14">
        <v>5.5</v>
      </c>
      <c r="K16" s="14">
        <v>15.2</v>
      </c>
      <c r="L16" s="14">
        <f t="shared" si="0"/>
        <v>972.40000000000009</v>
      </c>
      <c r="M16" s="14">
        <v>7.1</v>
      </c>
      <c r="N16" s="14">
        <f t="shared" si="1"/>
        <v>989.00000000000011</v>
      </c>
      <c r="O16" s="14">
        <v>19.5</v>
      </c>
      <c r="P16" s="14">
        <f t="shared" si="2"/>
        <v>965.1</v>
      </c>
      <c r="Q16" s="14">
        <v>18.600000000000001</v>
      </c>
      <c r="R16" s="14">
        <f t="shared" si="3"/>
        <v>957.2</v>
      </c>
      <c r="S16" s="14">
        <v>15.6</v>
      </c>
      <c r="T16" s="14">
        <f t="shared" si="4"/>
        <v>980.20000000000027</v>
      </c>
    </row>
    <row r="17" spans="1:20" x14ac:dyDescent="0.2">
      <c r="A17" s="14" t="s">
        <v>16</v>
      </c>
      <c r="C17" s="13">
        <v>2.8</v>
      </c>
      <c r="D17" s="18">
        <f t="shared" si="5"/>
        <v>0.66393999999999997</v>
      </c>
      <c r="E17" s="18">
        <f t="shared" si="6"/>
        <v>0.80076000000000014</v>
      </c>
      <c r="F17" s="18">
        <f t="shared" si="7"/>
        <v>0.61885999999999985</v>
      </c>
      <c r="G17" s="18">
        <f t="shared" si="8"/>
        <v>0.56037999999999999</v>
      </c>
      <c r="H17" s="18">
        <f t="shared" si="9"/>
        <v>0.67892000000000008</v>
      </c>
      <c r="J17" s="14">
        <v>6</v>
      </c>
      <c r="K17" s="14">
        <v>9</v>
      </c>
      <c r="L17" s="14">
        <f t="shared" si="0"/>
        <v>981.40000000000009</v>
      </c>
      <c r="M17" s="14">
        <v>4.0999999999999996</v>
      </c>
      <c r="N17" s="14">
        <f t="shared" si="1"/>
        <v>993.10000000000014</v>
      </c>
      <c r="O17" s="14">
        <v>10.9</v>
      </c>
      <c r="P17" s="14">
        <f t="shared" si="2"/>
        <v>976</v>
      </c>
      <c r="Q17" s="14">
        <v>11.9</v>
      </c>
      <c r="R17" s="14">
        <f t="shared" si="3"/>
        <v>969.1</v>
      </c>
      <c r="S17" s="14">
        <v>9.1999999999999993</v>
      </c>
      <c r="T17" s="14">
        <f t="shared" si="4"/>
        <v>989.40000000000032</v>
      </c>
    </row>
    <row r="18" spans="1:20" x14ac:dyDescent="0.2">
      <c r="A18" s="14" t="s">
        <v>54</v>
      </c>
      <c r="C18" s="13">
        <v>2.8</v>
      </c>
      <c r="D18" s="18">
        <f t="shared" si="5"/>
        <v>0.66393999999999997</v>
      </c>
      <c r="E18" s="18">
        <f t="shared" si="6"/>
        <v>0.80076000000000014</v>
      </c>
      <c r="F18" s="18">
        <f t="shared" si="7"/>
        <v>0.61885999999999985</v>
      </c>
      <c r="G18" s="18">
        <f t="shared" si="8"/>
        <v>0.56037999999999999</v>
      </c>
      <c r="H18" s="18">
        <f t="shared" si="9"/>
        <v>0.67892000000000008</v>
      </c>
      <c r="J18" s="14">
        <v>6.5</v>
      </c>
      <c r="K18" s="14">
        <v>6</v>
      </c>
      <c r="L18" s="14">
        <f t="shared" si="0"/>
        <v>987.40000000000009</v>
      </c>
      <c r="M18" s="14">
        <v>2.2000000000000002</v>
      </c>
      <c r="N18" s="14">
        <f t="shared" si="1"/>
        <v>995.30000000000018</v>
      </c>
      <c r="O18" s="14">
        <v>7.5</v>
      </c>
      <c r="P18" s="14">
        <f t="shared" si="2"/>
        <v>983.5</v>
      </c>
      <c r="Q18" s="14">
        <v>8.8000000000000007</v>
      </c>
      <c r="R18" s="14">
        <f t="shared" si="3"/>
        <v>977.9</v>
      </c>
      <c r="S18" s="14">
        <v>5.8</v>
      </c>
      <c r="T18" s="14">
        <f t="shared" si="4"/>
        <v>995.20000000000027</v>
      </c>
    </row>
    <row r="19" spans="1:20" x14ac:dyDescent="0.2">
      <c r="A19" s="13" t="s">
        <v>1</v>
      </c>
      <c r="B19" s="14" t="s">
        <v>70</v>
      </c>
      <c r="C19" s="13">
        <v>3.1</v>
      </c>
      <c r="D19" s="18">
        <f t="shared" si="5"/>
        <v>0.75402000000000002</v>
      </c>
      <c r="E19" s="18">
        <f t="shared" si="6"/>
        <v>0.86688000000000009</v>
      </c>
      <c r="F19" s="18">
        <f t="shared" si="7"/>
        <v>0.71156000000000008</v>
      </c>
      <c r="G19" s="18">
        <f t="shared" si="8"/>
        <v>0.66861999999999999</v>
      </c>
      <c r="H19" s="18">
        <f t="shared" si="9"/>
        <v>0.77180000000000015</v>
      </c>
      <c r="J19" s="14">
        <v>7</v>
      </c>
      <c r="K19" s="14">
        <v>3.8</v>
      </c>
      <c r="L19" s="14">
        <f t="shared" si="0"/>
        <v>991.2</v>
      </c>
      <c r="M19" s="14">
        <v>1.2</v>
      </c>
      <c r="N19" s="14">
        <f t="shared" si="1"/>
        <v>996.50000000000023</v>
      </c>
      <c r="O19" s="14">
        <v>4.7</v>
      </c>
      <c r="P19" s="14">
        <f t="shared" si="2"/>
        <v>988.2</v>
      </c>
      <c r="Q19" s="14">
        <v>7.8</v>
      </c>
      <c r="R19" s="14">
        <f t="shared" si="3"/>
        <v>985.69999999999993</v>
      </c>
      <c r="S19" s="14">
        <v>1.3</v>
      </c>
      <c r="T19" s="14">
        <f t="shared" si="4"/>
        <v>996.50000000000023</v>
      </c>
    </row>
    <row r="20" spans="1:20" x14ac:dyDescent="0.2">
      <c r="A20" s="14" t="s">
        <v>6</v>
      </c>
      <c r="C20" s="13">
        <v>3.1</v>
      </c>
      <c r="D20" s="18">
        <f t="shared" si="5"/>
        <v>0.75402000000000002</v>
      </c>
      <c r="E20" s="18">
        <f t="shared" si="6"/>
        <v>0.86688000000000009</v>
      </c>
      <c r="F20" s="18">
        <f t="shared" si="7"/>
        <v>0.71156000000000008</v>
      </c>
      <c r="G20" s="18">
        <f t="shared" si="8"/>
        <v>0.66861999999999999</v>
      </c>
      <c r="H20" s="18">
        <f t="shared" si="9"/>
        <v>0.77180000000000015</v>
      </c>
      <c r="J20" s="14">
        <v>7.5</v>
      </c>
      <c r="K20" s="14">
        <v>2.2000000000000002</v>
      </c>
      <c r="L20" s="14">
        <f t="shared" si="0"/>
        <v>993.40000000000009</v>
      </c>
      <c r="M20" s="14">
        <v>0.9</v>
      </c>
      <c r="N20" s="14">
        <f t="shared" si="1"/>
        <v>997.4000000000002</v>
      </c>
      <c r="O20" s="14">
        <v>3.1</v>
      </c>
      <c r="P20" s="14">
        <f t="shared" si="2"/>
        <v>991.30000000000007</v>
      </c>
      <c r="Q20" s="14">
        <v>4</v>
      </c>
      <c r="R20" s="14">
        <f t="shared" si="3"/>
        <v>989.69999999999993</v>
      </c>
      <c r="S20" s="14">
        <v>1.2</v>
      </c>
      <c r="T20" s="14">
        <f t="shared" si="4"/>
        <v>997.70000000000027</v>
      </c>
    </row>
    <row r="21" spans="1:20" x14ac:dyDescent="0.2">
      <c r="A21" s="14" t="s">
        <v>7</v>
      </c>
      <c r="C21" s="13">
        <v>3.1</v>
      </c>
      <c r="D21" s="18">
        <f t="shared" si="5"/>
        <v>0.75402000000000002</v>
      </c>
      <c r="E21" s="18">
        <f t="shared" si="6"/>
        <v>0.86688000000000009</v>
      </c>
      <c r="F21" s="18">
        <f t="shared" si="7"/>
        <v>0.71156000000000008</v>
      </c>
      <c r="G21" s="18">
        <f t="shared" si="8"/>
        <v>0.66861999999999999</v>
      </c>
      <c r="H21" s="18">
        <f t="shared" si="9"/>
        <v>0.77180000000000015</v>
      </c>
      <c r="J21" s="14">
        <v>8</v>
      </c>
      <c r="K21" s="14">
        <v>1.6</v>
      </c>
      <c r="L21" s="14">
        <f t="shared" si="0"/>
        <v>995.00000000000011</v>
      </c>
      <c r="M21" s="14">
        <v>0.4</v>
      </c>
      <c r="N21" s="14">
        <f t="shared" si="1"/>
        <v>997.80000000000018</v>
      </c>
      <c r="O21" s="14">
        <v>3.1</v>
      </c>
      <c r="P21" s="14">
        <f t="shared" si="2"/>
        <v>994.40000000000009</v>
      </c>
      <c r="Q21" s="14">
        <v>2.4</v>
      </c>
      <c r="R21" s="14">
        <f t="shared" si="3"/>
        <v>992.09999999999991</v>
      </c>
      <c r="S21" s="14">
        <v>0.8</v>
      </c>
      <c r="T21" s="14">
        <f t="shared" si="4"/>
        <v>998.50000000000023</v>
      </c>
    </row>
    <row r="22" spans="1:20" x14ac:dyDescent="0.2">
      <c r="A22" s="14" t="s">
        <v>8</v>
      </c>
      <c r="C22" s="13">
        <v>3.1</v>
      </c>
      <c r="D22" s="18">
        <f>(($C22-INDEX($J$5:$J$30,MATCH($C22,$J$5:$J$30)))/(INDEX($J$5:$J$30,MATCH($C22,$J$5:$J$30)+1)-INDEX($J$5:$J$30,MATCH($C22,$J$5:$J$30)))*(INDEX($L$5:$L$30,MATCH($C22,$J$5:$J$30)+1)-INDEX($L$5:$L$30,MATCH($C22,$J$5:$J$30)))+INDEX($L$5:$L$30,MATCH($C22,$J$5:$J$30)))/1000</f>
        <v>0.75402000000000002</v>
      </c>
      <c r="E22" s="18">
        <f t="shared" si="6"/>
        <v>0.86688000000000009</v>
      </c>
      <c r="F22" s="18">
        <f t="shared" si="7"/>
        <v>0.71156000000000008</v>
      </c>
      <c r="G22" s="18">
        <f t="shared" si="8"/>
        <v>0.66861999999999999</v>
      </c>
      <c r="H22" s="18">
        <f t="shared" si="9"/>
        <v>0.77180000000000015</v>
      </c>
      <c r="J22" s="14">
        <v>8.5</v>
      </c>
      <c r="K22" s="14">
        <v>1.5</v>
      </c>
      <c r="L22" s="14">
        <f t="shared" si="0"/>
        <v>996.50000000000011</v>
      </c>
      <c r="M22" s="14">
        <v>0.2</v>
      </c>
      <c r="N22" s="14">
        <f t="shared" si="1"/>
        <v>998.00000000000023</v>
      </c>
      <c r="O22" s="14">
        <v>1.9</v>
      </c>
      <c r="P22" s="14">
        <f t="shared" si="2"/>
        <v>996.30000000000007</v>
      </c>
      <c r="Q22" s="14">
        <v>3.1</v>
      </c>
      <c r="R22" s="14">
        <f t="shared" si="3"/>
        <v>995.19999999999993</v>
      </c>
      <c r="S22" s="14">
        <v>1</v>
      </c>
      <c r="T22" s="14">
        <f t="shared" si="4"/>
        <v>999.50000000000023</v>
      </c>
    </row>
    <row r="23" spans="1:20" x14ac:dyDescent="0.2">
      <c r="A23" s="14" t="s">
        <v>9</v>
      </c>
      <c r="C23" s="13">
        <v>3.1</v>
      </c>
      <c r="D23" s="18">
        <f t="shared" si="5"/>
        <v>0.75402000000000002</v>
      </c>
      <c r="E23" s="18">
        <f t="shared" si="6"/>
        <v>0.86688000000000009</v>
      </c>
      <c r="F23" s="18">
        <f t="shared" si="7"/>
        <v>0.71156000000000008</v>
      </c>
      <c r="G23" s="18">
        <f t="shared" si="8"/>
        <v>0.66861999999999999</v>
      </c>
      <c r="H23" s="18">
        <f t="shared" si="9"/>
        <v>0.77180000000000015</v>
      </c>
      <c r="J23" s="14">
        <v>9</v>
      </c>
      <c r="K23" s="14">
        <v>1</v>
      </c>
      <c r="L23" s="14">
        <f t="shared" si="0"/>
        <v>997.50000000000011</v>
      </c>
      <c r="M23" s="14">
        <v>0.4</v>
      </c>
      <c r="N23" s="14">
        <f t="shared" si="1"/>
        <v>998.4000000000002</v>
      </c>
      <c r="O23" s="14">
        <v>1.4</v>
      </c>
      <c r="P23" s="14">
        <f t="shared" si="2"/>
        <v>997.7</v>
      </c>
      <c r="Q23" s="14">
        <v>1.6</v>
      </c>
      <c r="R23" s="14">
        <f t="shared" si="3"/>
        <v>996.8</v>
      </c>
      <c r="S23" s="14">
        <v>0.7</v>
      </c>
      <c r="T23" s="14">
        <f t="shared" si="4"/>
        <v>1000.2000000000003</v>
      </c>
    </row>
    <row r="24" spans="1:20" x14ac:dyDescent="0.2">
      <c r="A24" s="14" t="s">
        <v>53</v>
      </c>
      <c r="C24" s="13">
        <v>3.1</v>
      </c>
      <c r="D24" s="18">
        <f t="shared" si="5"/>
        <v>0.75402000000000002</v>
      </c>
      <c r="E24" s="18">
        <f t="shared" si="6"/>
        <v>0.86688000000000009</v>
      </c>
      <c r="F24" s="18">
        <f t="shared" si="7"/>
        <v>0.71156000000000008</v>
      </c>
      <c r="G24" s="18">
        <f t="shared" si="8"/>
        <v>0.66861999999999999</v>
      </c>
      <c r="H24" s="18">
        <f t="shared" si="9"/>
        <v>0.77180000000000015</v>
      </c>
      <c r="J24" s="14">
        <v>9.5</v>
      </c>
      <c r="K24" s="14">
        <v>0.8</v>
      </c>
      <c r="L24" s="14">
        <f t="shared" si="0"/>
        <v>998.30000000000007</v>
      </c>
      <c r="M24" s="14">
        <v>0.4</v>
      </c>
      <c r="N24" s="14">
        <f t="shared" si="1"/>
        <v>998.80000000000018</v>
      </c>
      <c r="O24" s="14">
        <v>0.9</v>
      </c>
      <c r="P24" s="14">
        <f t="shared" si="2"/>
        <v>998.6</v>
      </c>
      <c r="Q24" s="14">
        <v>2</v>
      </c>
      <c r="R24" s="14">
        <f t="shared" si="3"/>
        <v>998.8</v>
      </c>
      <c r="S24" s="14">
        <v>0.1</v>
      </c>
      <c r="T24" s="14">
        <f t="shared" si="4"/>
        <v>1000.3000000000003</v>
      </c>
    </row>
    <row r="25" spans="1:20" x14ac:dyDescent="0.2">
      <c r="A25" s="14" t="s">
        <v>16</v>
      </c>
      <c r="C25" s="13">
        <v>3.1</v>
      </c>
      <c r="D25" s="18">
        <f t="shared" si="5"/>
        <v>0.75402000000000002</v>
      </c>
      <c r="E25" s="18">
        <f t="shared" si="6"/>
        <v>0.86688000000000009</v>
      </c>
      <c r="F25" s="18">
        <f t="shared" si="7"/>
        <v>0.71156000000000008</v>
      </c>
      <c r="G25" s="18">
        <f t="shared" si="8"/>
        <v>0.66861999999999999</v>
      </c>
      <c r="H25" s="18">
        <f t="shared" si="9"/>
        <v>0.77180000000000015</v>
      </c>
      <c r="J25" s="14">
        <v>10</v>
      </c>
      <c r="K25" s="14">
        <v>0.4</v>
      </c>
      <c r="L25" s="14">
        <f t="shared" si="0"/>
        <v>998.7</v>
      </c>
      <c r="M25" s="14">
        <v>0.4</v>
      </c>
      <c r="N25" s="14">
        <f t="shared" si="1"/>
        <v>999.20000000000016</v>
      </c>
      <c r="O25" s="14">
        <v>0.6</v>
      </c>
      <c r="P25" s="14">
        <f t="shared" si="2"/>
        <v>999.2</v>
      </c>
      <c r="Q25" s="14">
        <v>0.6</v>
      </c>
      <c r="R25" s="14">
        <f t="shared" si="3"/>
        <v>999.4</v>
      </c>
      <c r="S25" s="14">
        <v>0</v>
      </c>
      <c r="T25" s="14">
        <f t="shared" si="4"/>
        <v>1000.3000000000003</v>
      </c>
    </row>
    <row r="26" spans="1:20" x14ac:dyDescent="0.2">
      <c r="A26" s="14" t="s">
        <v>54</v>
      </c>
      <c r="C26" s="13">
        <v>3.1</v>
      </c>
      <c r="D26" s="18">
        <f t="shared" si="5"/>
        <v>0.75402000000000002</v>
      </c>
      <c r="E26" s="18">
        <f t="shared" si="6"/>
        <v>0.86688000000000009</v>
      </c>
      <c r="F26" s="18">
        <f t="shared" si="7"/>
        <v>0.71156000000000008</v>
      </c>
      <c r="G26" s="18">
        <f t="shared" si="8"/>
        <v>0.66861999999999999</v>
      </c>
      <c r="H26" s="18">
        <f t="shared" si="9"/>
        <v>0.77180000000000015</v>
      </c>
      <c r="J26" s="14">
        <v>10.5</v>
      </c>
      <c r="K26" s="14">
        <v>0.2</v>
      </c>
      <c r="L26" s="14">
        <f t="shared" si="0"/>
        <v>998.90000000000009</v>
      </c>
      <c r="M26" s="14">
        <v>0.2</v>
      </c>
      <c r="N26" s="14">
        <f t="shared" si="1"/>
        <v>999.4000000000002</v>
      </c>
      <c r="O26" s="14">
        <v>0.1</v>
      </c>
      <c r="P26" s="14">
        <f t="shared" si="2"/>
        <v>999.30000000000007</v>
      </c>
      <c r="Q26" s="14">
        <v>0.5</v>
      </c>
      <c r="R26" s="14">
        <f t="shared" si="3"/>
        <v>999.9</v>
      </c>
      <c r="S26" s="14">
        <v>0</v>
      </c>
      <c r="T26" s="14">
        <f t="shared" si="4"/>
        <v>1000.3000000000003</v>
      </c>
    </row>
    <row r="27" spans="1:20" x14ac:dyDescent="0.2">
      <c r="A27" s="13" t="s">
        <v>1</v>
      </c>
      <c r="B27" s="14" t="s">
        <v>69</v>
      </c>
      <c r="C27" s="13">
        <v>3.36</v>
      </c>
      <c r="D27" s="18">
        <f t="shared" si="5"/>
        <v>0.80997200000000003</v>
      </c>
      <c r="E27" s="18">
        <f t="shared" si="6"/>
        <v>0.90036800000000006</v>
      </c>
      <c r="F27" s="18">
        <f t="shared" si="7"/>
        <v>0.77515599999999996</v>
      </c>
      <c r="G27" s="18">
        <f t="shared" si="8"/>
        <v>0.74017200000000005</v>
      </c>
      <c r="H27" s="18">
        <f t="shared" si="9"/>
        <v>0.8269200000000001</v>
      </c>
      <c r="J27" s="14">
        <v>11</v>
      </c>
      <c r="K27" s="14">
        <v>0</v>
      </c>
      <c r="L27" s="14">
        <f t="shared" si="0"/>
        <v>998.90000000000009</v>
      </c>
      <c r="M27" s="14">
        <v>0</v>
      </c>
      <c r="N27" s="14">
        <f t="shared" si="1"/>
        <v>999.4000000000002</v>
      </c>
      <c r="O27" s="14">
        <v>0.1</v>
      </c>
      <c r="P27" s="14">
        <f t="shared" si="2"/>
        <v>999.40000000000009</v>
      </c>
      <c r="Q27" s="14">
        <v>0</v>
      </c>
      <c r="R27" s="14">
        <f t="shared" si="3"/>
        <v>999.9</v>
      </c>
      <c r="S27" s="14">
        <v>0</v>
      </c>
      <c r="T27" s="14">
        <f t="shared" si="4"/>
        <v>1000.3000000000003</v>
      </c>
    </row>
    <row r="28" spans="1:20" x14ac:dyDescent="0.2">
      <c r="A28" s="14" t="s">
        <v>6</v>
      </c>
      <c r="C28" s="13">
        <v>3.36</v>
      </c>
      <c r="D28" s="18">
        <f t="shared" si="5"/>
        <v>0.80997200000000003</v>
      </c>
      <c r="E28" s="18">
        <f t="shared" si="6"/>
        <v>0.90036800000000006</v>
      </c>
      <c r="F28" s="18">
        <f t="shared" si="7"/>
        <v>0.77515599999999996</v>
      </c>
      <c r="G28" s="18">
        <f t="shared" si="8"/>
        <v>0.74017200000000005</v>
      </c>
      <c r="H28" s="18">
        <f t="shared" si="9"/>
        <v>0.8269200000000001</v>
      </c>
      <c r="J28" s="14">
        <v>11.5</v>
      </c>
      <c r="K28" s="14">
        <v>0</v>
      </c>
      <c r="L28" s="14">
        <f t="shared" si="0"/>
        <v>998.90000000000009</v>
      </c>
      <c r="M28" s="14">
        <v>0</v>
      </c>
      <c r="N28" s="14">
        <f t="shared" si="1"/>
        <v>999.4000000000002</v>
      </c>
      <c r="O28" s="14">
        <v>0</v>
      </c>
      <c r="P28" s="14">
        <f t="shared" si="2"/>
        <v>999.40000000000009</v>
      </c>
      <c r="Q28" s="14">
        <v>0.2</v>
      </c>
      <c r="R28" s="14">
        <f t="shared" si="3"/>
        <v>1000.1</v>
      </c>
      <c r="S28" s="14">
        <v>0</v>
      </c>
      <c r="T28" s="14">
        <f t="shared" si="4"/>
        <v>1000.3000000000003</v>
      </c>
    </row>
    <row r="29" spans="1:20" x14ac:dyDescent="0.2">
      <c r="A29" s="14" t="s">
        <v>7</v>
      </c>
      <c r="C29" s="13">
        <v>3.36</v>
      </c>
      <c r="D29" s="18">
        <f t="shared" si="5"/>
        <v>0.80997200000000003</v>
      </c>
      <c r="E29" s="18">
        <f t="shared" si="6"/>
        <v>0.90036800000000006</v>
      </c>
      <c r="F29" s="18">
        <f t="shared" si="7"/>
        <v>0.77515599999999996</v>
      </c>
      <c r="G29" s="18">
        <f t="shared" si="8"/>
        <v>0.74017200000000005</v>
      </c>
      <c r="H29" s="18">
        <f t="shared" si="9"/>
        <v>0.8269200000000001</v>
      </c>
      <c r="J29" s="14">
        <v>12</v>
      </c>
      <c r="K29" s="14">
        <v>0.1</v>
      </c>
      <c r="L29" s="14">
        <f t="shared" si="0"/>
        <v>999.00000000000011</v>
      </c>
      <c r="M29" s="14">
        <v>0</v>
      </c>
      <c r="N29" s="14">
        <f t="shared" si="1"/>
        <v>999.4000000000002</v>
      </c>
      <c r="O29" s="14">
        <v>0</v>
      </c>
      <c r="P29" s="14">
        <f t="shared" si="2"/>
        <v>999.40000000000009</v>
      </c>
      <c r="Q29" s="14">
        <v>0.2</v>
      </c>
      <c r="R29" s="14">
        <f t="shared" si="3"/>
        <v>1000.3000000000001</v>
      </c>
      <c r="S29" s="14">
        <v>0</v>
      </c>
      <c r="T29" s="14">
        <f t="shared" si="4"/>
        <v>1000.3000000000003</v>
      </c>
    </row>
    <row r="30" spans="1:20" x14ac:dyDescent="0.2">
      <c r="A30" s="14" t="s">
        <v>8</v>
      </c>
      <c r="C30" s="13">
        <v>3.36</v>
      </c>
      <c r="D30" s="18">
        <f t="shared" si="5"/>
        <v>0.80997200000000003</v>
      </c>
      <c r="E30" s="18">
        <f t="shared" si="6"/>
        <v>0.90036800000000006</v>
      </c>
      <c r="F30" s="18">
        <f t="shared" si="7"/>
        <v>0.77515599999999996</v>
      </c>
      <c r="G30" s="18">
        <f t="shared" si="8"/>
        <v>0.74017200000000005</v>
      </c>
      <c r="H30" s="18">
        <f t="shared" si="9"/>
        <v>0.8269200000000001</v>
      </c>
      <c r="J30" s="14">
        <v>12.5</v>
      </c>
      <c r="K30" s="14">
        <v>0</v>
      </c>
      <c r="L30" s="14">
        <f t="shared" si="0"/>
        <v>999.00000000000011</v>
      </c>
      <c r="M30" s="14">
        <v>0.1</v>
      </c>
      <c r="N30" s="14">
        <f t="shared" si="1"/>
        <v>999.50000000000023</v>
      </c>
      <c r="O30" s="14">
        <v>0</v>
      </c>
      <c r="P30" s="14">
        <f t="shared" si="2"/>
        <v>999.40000000000009</v>
      </c>
      <c r="Q30" s="14">
        <v>0</v>
      </c>
      <c r="R30" s="14">
        <f t="shared" si="3"/>
        <v>1000.3000000000001</v>
      </c>
      <c r="S30" s="14">
        <v>0</v>
      </c>
      <c r="T30" s="14">
        <f t="shared" si="4"/>
        <v>1000.3000000000003</v>
      </c>
    </row>
    <row r="31" spans="1:20" x14ac:dyDescent="0.2">
      <c r="A31" s="14" t="s">
        <v>9</v>
      </c>
      <c r="C31" s="13">
        <v>3.36</v>
      </c>
      <c r="D31" s="18">
        <f t="shared" si="5"/>
        <v>0.80997200000000003</v>
      </c>
      <c r="E31" s="18">
        <f t="shared" si="6"/>
        <v>0.90036800000000006</v>
      </c>
      <c r="F31" s="18">
        <f t="shared" si="7"/>
        <v>0.77515599999999996</v>
      </c>
      <c r="G31" s="18">
        <f t="shared" si="8"/>
        <v>0.74017200000000005</v>
      </c>
      <c r="H31" s="18">
        <f t="shared" si="9"/>
        <v>0.8269200000000001</v>
      </c>
    </row>
    <row r="32" spans="1:20" x14ac:dyDescent="0.2">
      <c r="A32" s="14" t="s">
        <v>53</v>
      </c>
      <c r="C32" s="13">
        <v>3.36</v>
      </c>
      <c r="D32" s="18">
        <f t="shared" si="5"/>
        <v>0.80997200000000003</v>
      </c>
      <c r="E32" s="18">
        <f t="shared" si="6"/>
        <v>0.90036800000000006</v>
      </c>
      <c r="F32" s="18">
        <f t="shared" si="7"/>
        <v>0.77515599999999996</v>
      </c>
      <c r="G32" s="18">
        <f t="shared" si="8"/>
        <v>0.74017200000000005</v>
      </c>
      <c r="H32" s="18">
        <f t="shared" si="9"/>
        <v>0.8269200000000001</v>
      </c>
    </row>
    <row r="33" spans="1:8" x14ac:dyDescent="0.2">
      <c r="A33" s="14" t="s">
        <v>16</v>
      </c>
      <c r="C33" s="13">
        <v>3.36</v>
      </c>
      <c r="D33" s="18">
        <f t="shared" si="5"/>
        <v>0.80997200000000003</v>
      </c>
      <c r="E33" s="18">
        <f t="shared" si="6"/>
        <v>0.90036800000000006</v>
      </c>
      <c r="F33" s="18">
        <f t="shared" si="7"/>
        <v>0.77515599999999996</v>
      </c>
      <c r="G33" s="18">
        <f t="shared" si="8"/>
        <v>0.74017200000000005</v>
      </c>
      <c r="H33" s="18">
        <f t="shared" si="9"/>
        <v>0.8269200000000001</v>
      </c>
    </row>
    <row r="34" spans="1:8" x14ac:dyDescent="0.2">
      <c r="A34" s="14" t="s">
        <v>54</v>
      </c>
      <c r="C34" s="13">
        <v>3.36</v>
      </c>
      <c r="D34" s="18">
        <f t="shared" si="5"/>
        <v>0.80997200000000003</v>
      </c>
      <c r="E34" s="18">
        <f t="shared" si="6"/>
        <v>0.90036800000000006</v>
      </c>
      <c r="F34" s="18">
        <f t="shared" si="7"/>
        <v>0.77515599999999996</v>
      </c>
      <c r="G34" s="18">
        <f t="shared" si="8"/>
        <v>0.74017200000000005</v>
      </c>
      <c r="H34" s="18">
        <f t="shared" si="9"/>
        <v>0.8269200000000001</v>
      </c>
    </row>
    <row r="35" spans="1:8" x14ac:dyDescent="0.2">
      <c r="A35" s="13" t="s">
        <v>2</v>
      </c>
      <c r="C35" s="13">
        <v>6.8</v>
      </c>
      <c r="D35" s="18">
        <f t="shared" si="5"/>
        <v>0.98968000000000012</v>
      </c>
      <c r="E35" s="18">
        <f t="shared" si="6"/>
        <v>0.99602000000000024</v>
      </c>
      <c r="F35" s="18">
        <f t="shared" si="7"/>
        <v>0.98632000000000009</v>
      </c>
      <c r="G35" s="18">
        <f t="shared" si="8"/>
        <v>0.9825799999999999</v>
      </c>
      <c r="H35" s="18">
        <f t="shared" si="9"/>
        <v>0.9959800000000002</v>
      </c>
    </row>
    <row r="36" spans="1:8" x14ac:dyDescent="0.2">
      <c r="A36" s="14" t="s">
        <v>10</v>
      </c>
      <c r="C36" s="13">
        <v>6.8</v>
      </c>
      <c r="D36" s="18">
        <f t="shared" si="5"/>
        <v>0.98968000000000012</v>
      </c>
      <c r="E36" s="18">
        <f t="shared" si="6"/>
        <v>0.99602000000000024</v>
      </c>
      <c r="F36" s="18">
        <f t="shared" si="7"/>
        <v>0.98632000000000009</v>
      </c>
      <c r="G36" s="18">
        <f t="shared" si="8"/>
        <v>0.9825799999999999</v>
      </c>
      <c r="H36" s="18">
        <f t="shared" si="9"/>
        <v>0.9959800000000002</v>
      </c>
    </row>
    <row r="37" spans="1:8" x14ac:dyDescent="0.2">
      <c r="A37" s="13" t="s">
        <v>3</v>
      </c>
      <c r="C37" s="13">
        <v>18.399999999999999</v>
      </c>
      <c r="D37" s="18">
        <v>1</v>
      </c>
      <c r="E37" s="18">
        <v>1</v>
      </c>
      <c r="F37" s="18">
        <v>1</v>
      </c>
      <c r="G37" s="18">
        <v>1</v>
      </c>
      <c r="H37" s="18">
        <v>1</v>
      </c>
    </row>
    <row r="39" spans="1:8" x14ac:dyDescent="0.2">
      <c r="C39" s="19"/>
    </row>
    <row r="40" spans="1:8" x14ac:dyDescent="0.2">
      <c r="C40" s="19"/>
    </row>
    <row r="42" spans="1:8" x14ac:dyDescent="0.2">
      <c r="A42" s="14" t="s">
        <v>57</v>
      </c>
    </row>
    <row r="43" spans="1:8" x14ac:dyDescent="0.2">
      <c r="A43" s="14" t="s">
        <v>58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T43"/>
  <sheetViews>
    <sheetView zoomScale="115" zoomScaleNormal="115" workbookViewId="0">
      <selection activeCell="K34" sqref="K34"/>
    </sheetView>
  </sheetViews>
  <sheetFormatPr defaultColWidth="8.42578125" defaultRowHeight="12.75" x14ac:dyDescent="0.2"/>
  <cols>
    <col min="1" max="1" width="22.7109375" style="14" customWidth="1"/>
    <col min="2" max="2" width="27.42578125" style="14" bestFit="1" customWidth="1"/>
    <col min="3" max="16384" width="8.42578125" style="14"/>
  </cols>
  <sheetData>
    <row r="2" spans="1:20" ht="25.5" x14ac:dyDescent="0.2">
      <c r="A2" s="13" t="s">
        <v>48</v>
      </c>
      <c r="D2" s="15" t="str">
        <f>K4</f>
        <v>Annual</v>
      </c>
      <c r="E2" s="15" t="str">
        <f>M4</f>
        <v>Dec-Feb</v>
      </c>
      <c r="F2" s="15" t="str">
        <f>O4</f>
        <v>Mar-May</v>
      </c>
      <c r="G2" s="15" t="str">
        <f>Q4</f>
        <v>Jun-Aug</v>
      </c>
      <c r="H2" s="15" t="str">
        <f>S4</f>
        <v>Sep-Nov</v>
      </c>
    </row>
    <row r="3" spans="1:20" s="13" customFormat="1" x14ac:dyDescent="0.2">
      <c r="B3" s="14"/>
      <c r="D3" s="16"/>
      <c r="E3" s="16"/>
      <c r="F3" s="16"/>
      <c r="G3" s="16"/>
      <c r="H3" s="16"/>
      <c r="I3" s="16"/>
      <c r="J3" s="17"/>
      <c r="K3" s="17">
        <v>243</v>
      </c>
      <c r="L3" s="17"/>
      <c r="M3" s="17">
        <f>K3+1</f>
        <v>244</v>
      </c>
      <c r="N3" s="17"/>
      <c r="O3" s="17">
        <f>M3+1</f>
        <v>245</v>
      </c>
      <c r="P3" s="17"/>
      <c r="Q3" s="17">
        <f>O3+1</f>
        <v>246</v>
      </c>
      <c r="R3" s="17"/>
      <c r="S3" s="17">
        <f>Q3+1</f>
        <v>247</v>
      </c>
      <c r="T3" s="17"/>
    </row>
    <row r="4" spans="1:20" x14ac:dyDescent="0.2">
      <c r="C4" s="13"/>
      <c r="D4" s="15"/>
      <c r="E4" s="15"/>
      <c r="F4" s="15"/>
      <c r="G4" s="15"/>
      <c r="H4" s="15"/>
      <c r="I4" s="13"/>
      <c r="J4" s="17" t="s">
        <v>67</v>
      </c>
      <c r="K4" s="17" t="s">
        <v>66</v>
      </c>
      <c r="L4" s="17"/>
      <c r="M4" s="17" t="s">
        <v>62</v>
      </c>
      <c r="N4" s="17"/>
      <c r="O4" s="17" t="s">
        <v>63</v>
      </c>
      <c r="P4" s="17"/>
      <c r="Q4" s="17" t="s">
        <v>64</v>
      </c>
      <c r="R4" s="17"/>
      <c r="S4" s="17" t="s">
        <v>65</v>
      </c>
      <c r="T4" s="17"/>
    </row>
    <row r="5" spans="1:20" x14ac:dyDescent="0.2">
      <c r="C5" s="13" t="s">
        <v>37</v>
      </c>
      <c r="J5" s="17">
        <v>0</v>
      </c>
      <c r="K5" s="17">
        <v>0</v>
      </c>
      <c r="L5" s="17">
        <f>K5</f>
        <v>0</v>
      </c>
      <c r="M5" s="17">
        <v>0</v>
      </c>
      <c r="N5" s="17">
        <f>M5</f>
        <v>0</v>
      </c>
      <c r="O5" s="17">
        <v>0</v>
      </c>
      <c r="P5" s="17">
        <f>O5</f>
        <v>0</v>
      </c>
      <c r="Q5" s="17">
        <v>0</v>
      </c>
      <c r="R5" s="17">
        <f>Q5</f>
        <v>0</v>
      </c>
      <c r="S5" s="17">
        <v>0</v>
      </c>
      <c r="T5" s="17">
        <f>S5</f>
        <v>0</v>
      </c>
    </row>
    <row r="6" spans="1:20" x14ac:dyDescent="0.2">
      <c r="C6" s="13" t="s">
        <v>38</v>
      </c>
      <c r="J6" s="17">
        <v>0.5</v>
      </c>
      <c r="K6" s="17">
        <v>0.1</v>
      </c>
      <c r="L6" s="17">
        <f>L5+K6</f>
        <v>0.1</v>
      </c>
      <c r="M6" s="17">
        <v>0.5</v>
      </c>
      <c r="N6" s="17">
        <f>N5+M6</f>
        <v>0.5</v>
      </c>
      <c r="O6" s="17">
        <v>0</v>
      </c>
      <c r="P6" s="17">
        <f>P5+O6</f>
        <v>0</v>
      </c>
      <c r="Q6" s="17">
        <v>0</v>
      </c>
      <c r="R6" s="17">
        <f>R5+Q6</f>
        <v>0</v>
      </c>
      <c r="S6" s="17">
        <v>0</v>
      </c>
      <c r="T6" s="17">
        <f>T5+S6</f>
        <v>0</v>
      </c>
    </row>
    <row r="7" spans="1:20" x14ac:dyDescent="0.2">
      <c r="A7" s="13" t="s">
        <v>0</v>
      </c>
      <c r="C7" s="13">
        <v>5.6</v>
      </c>
      <c r="D7" s="18">
        <f>(($C7-INDEX($J$5:$J$30,MATCH($C7,$J$5:$J$30)))/(INDEX($J$5:$J$30,MATCH($C7,$J$5:$J$30)+1)-INDEX($J$5:$J$30,MATCH($C7,$J$5:$J$30)))*(INDEX($L$5:$L$30,MATCH($C7,$J$5:$J$30)+1)-INDEX($L$5:$L$30,MATCH($C7,$J$5:$J$30)))+INDEX($L$5:$L$30,MATCH($C7,$J$5:$J$30)))/1000</f>
        <v>0.96420000000000017</v>
      </c>
      <c r="E7" s="18">
        <f>(($C7-INDEX($J$5:$J$30,MATCH($C7,$J$5:$J$30)))/(INDEX($J$5:$J$30,MATCH($C7,$J$5:$J$30)+1)-INDEX($J$5:$J$30,MATCH($C7,$J$5:$J$30)))*(INDEX($N$5:$N$30,MATCH($C7,$J$5:$J$30)+1)-INDEX($N$5:$N$30,MATCH($C7,$J$5:$J$30)))+INDEX($N$5:$N$30,MATCH($C7,$J$5:$J$30)))/1000</f>
        <v>0.98727999999999994</v>
      </c>
      <c r="F7" s="18">
        <f>(($C7-INDEX($J$5:$J$30,MATCH($C7,$J$5:$J$30)))/(INDEX($J$5:$J$30,MATCH($C7,$J$5:$J$30)+1)-INDEX($J$5:$J$30,MATCH($C7,$J$5:$J$30)))*(INDEX($P$5:$P$30,MATCH($C7,$J$5:$J$30)+1)-INDEX($P$5:$P$30,MATCH($C7,$J$5:$J$30)))+INDEX($P$5:$P$30,MATCH($C7,$J$5:$J$30)))/1000</f>
        <v>0.95483999999999991</v>
      </c>
      <c r="G7" s="18">
        <f>(($C7-INDEX($J$5:$J$30,MATCH($C7,$J$5:$J$30)))/(INDEX($J$5:$J$30,MATCH($C7,$J$5:$J$30)+1)-INDEX($J$5:$J$30,MATCH($C7,$J$5:$J$30)))*(INDEX($R$5:$R$30,MATCH($C7,$J$5:$J$30)+1)-INDEX($R$5:$R$30,MATCH($C7,$J$5:$J$30)))+INDEX($R$5:$R$30,MATCH($C7,$J$5:$J$30)))/1000</f>
        <v>0.94817999999999991</v>
      </c>
      <c r="H7" s="18">
        <f>(($C7-INDEX($J$5:$J$30,MATCH($C7,$J$5:$J$30)))/(INDEX($J$5:$J$30,MATCH($C7,$J$5:$J$30)+1)-INDEX($J$5:$J$30,MATCH($C7,$J$5:$J$30)))*(INDEX($T$5:$T$30,MATCH($C7,$J$5:$J$30)+1)-INDEX($T$5:$T$30,MATCH($C7,$J$5:$J$30)))+INDEX($T$5:$T$30,MATCH($C7,$J$5:$J$30)))/1000</f>
        <v>0.96655999999999997</v>
      </c>
      <c r="I7" s="13"/>
      <c r="J7" s="17">
        <v>1</v>
      </c>
      <c r="K7" s="17">
        <v>7.2</v>
      </c>
      <c r="L7" s="17">
        <f t="shared" ref="L7:T22" si="0">L6+K7</f>
        <v>7.3</v>
      </c>
      <c r="M7" s="17">
        <v>20.100000000000001</v>
      </c>
      <c r="N7" s="17">
        <f t="shared" si="0"/>
        <v>20.6</v>
      </c>
      <c r="O7" s="17">
        <v>1.6</v>
      </c>
      <c r="P7" s="17">
        <f t="shared" si="0"/>
        <v>1.6</v>
      </c>
      <c r="Q7" s="17">
        <v>4</v>
      </c>
      <c r="R7" s="17">
        <f t="shared" si="0"/>
        <v>4</v>
      </c>
      <c r="S7" s="17">
        <v>3.3</v>
      </c>
      <c r="T7" s="17">
        <f t="shared" si="0"/>
        <v>3.3</v>
      </c>
    </row>
    <row r="8" spans="1:20" x14ac:dyDescent="0.2">
      <c r="A8" s="14" t="s">
        <v>5</v>
      </c>
      <c r="C8" s="13">
        <v>5.6</v>
      </c>
      <c r="D8" s="18">
        <f t="shared" ref="D8:D36" si="1">(($C8-INDEX($J$5:$J$30,MATCH($C8,$J$5:$J$30)))/(INDEX($J$5:$J$30,MATCH($C8,$J$5:$J$30)+1)-INDEX($J$5:$J$30,MATCH($C8,$J$5:$J$30)))*(INDEX($L$5:$L$30,MATCH($C8,$J$5:$J$30)+1)-INDEX($L$5:$L$30,MATCH($C8,$J$5:$J$30)))+INDEX($L$5:$L$30,MATCH($C8,$J$5:$J$30)))/1000</f>
        <v>0.96420000000000017</v>
      </c>
      <c r="E8" s="18">
        <f t="shared" ref="E8:E36" si="2">(($C8-INDEX($J$5:$J$30,MATCH($C8,$J$5:$J$30)))/(INDEX($J$5:$J$30,MATCH($C8,$J$5:$J$30)+1)-INDEX($J$5:$J$30,MATCH($C8,$J$5:$J$30)))*(INDEX($N$5:$N$30,MATCH($C8,$J$5:$J$30)+1)-INDEX($N$5:$N$30,MATCH($C8,$J$5:$J$30)))+INDEX($N$5:$N$30,MATCH($C8,$J$5:$J$30)))/1000</f>
        <v>0.98727999999999994</v>
      </c>
      <c r="F8" s="18">
        <f t="shared" ref="F8:F36" si="3">(($C8-INDEX($J$5:$J$30,MATCH($C8,$J$5:$J$30)))/(INDEX($J$5:$J$30,MATCH($C8,$J$5:$J$30)+1)-INDEX($J$5:$J$30,MATCH($C8,$J$5:$J$30)))*(INDEX($P$5:$P$30,MATCH($C8,$J$5:$J$30)+1)-INDEX($P$5:$P$30,MATCH($C8,$J$5:$J$30)))+INDEX($P$5:$P$30,MATCH($C8,$J$5:$J$30)))/1000</f>
        <v>0.95483999999999991</v>
      </c>
      <c r="G8" s="18">
        <f t="shared" ref="G8:G36" si="4">(($C8-INDEX($J$5:$J$30,MATCH($C8,$J$5:$J$30)))/(INDEX($J$5:$J$30,MATCH($C8,$J$5:$J$30)+1)-INDEX($J$5:$J$30,MATCH($C8,$J$5:$J$30)))*(INDEX($R$5:$R$30,MATCH($C8,$J$5:$J$30)+1)-INDEX($R$5:$R$30,MATCH($C8,$J$5:$J$30)))+INDEX($R$5:$R$30,MATCH($C8,$J$5:$J$30)))/1000</f>
        <v>0.94817999999999991</v>
      </c>
      <c r="H8" s="18">
        <f t="shared" ref="H8:H36" si="5">(($C8-INDEX($J$5:$J$30,MATCH($C8,$J$5:$J$30)))/(INDEX($J$5:$J$30,MATCH($C8,$J$5:$J$30)+1)-INDEX($J$5:$J$30,MATCH($C8,$J$5:$J$30)))*(INDEX($T$5:$T$30,MATCH($C8,$J$5:$J$30)+1)-INDEX($T$5:$T$30,MATCH($C8,$J$5:$J$30)))+INDEX($T$5:$T$30,MATCH($C8,$J$5:$J$30)))/1000</f>
        <v>0.96655999999999997</v>
      </c>
      <c r="I8" s="13"/>
      <c r="J8" s="17">
        <v>1.5</v>
      </c>
      <c r="K8" s="17">
        <v>79.599999999999994</v>
      </c>
      <c r="L8" s="17">
        <f t="shared" si="0"/>
        <v>86.899999999999991</v>
      </c>
      <c r="M8" s="17">
        <v>155.19999999999999</v>
      </c>
      <c r="N8" s="17">
        <f t="shared" si="0"/>
        <v>175.79999999999998</v>
      </c>
      <c r="O8" s="17">
        <v>54.9</v>
      </c>
      <c r="P8" s="17">
        <f t="shared" si="0"/>
        <v>56.5</v>
      </c>
      <c r="Q8" s="17">
        <v>41.8</v>
      </c>
      <c r="R8" s="17">
        <f t="shared" si="0"/>
        <v>45.8</v>
      </c>
      <c r="S8" s="17">
        <v>68.099999999999994</v>
      </c>
      <c r="T8" s="17">
        <f t="shared" si="0"/>
        <v>71.399999999999991</v>
      </c>
    </row>
    <row r="9" spans="1:20" x14ac:dyDescent="0.2">
      <c r="A9" s="14" t="s">
        <v>19</v>
      </c>
      <c r="C9" s="13">
        <v>5.6</v>
      </c>
      <c r="D9" s="18">
        <f t="shared" si="1"/>
        <v>0.96420000000000017</v>
      </c>
      <c r="E9" s="18">
        <f t="shared" si="2"/>
        <v>0.98727999999999994</v>
      </c>
      <c r="F9" s="18">
        <f t="shared" si="3"/>
        <v>0.95483999999999991</v>
      </c>
      <c r="G9" s="18">
        <f t="shared" si="4"/>
        <v>0.94817999999999991</v>
      </c>
      <c r="H9" s="18">
        <f t="shared" si="5"/>
        <v>0.96655999999999997</v>
      </c>
      <c r="I9" s="13"/>
      <c r="J9" s="17">
        <v>2</v>
      </c>
      <c r="K9" s="17">
        <v>188.9</v>
      </c>
      <c r="L9" s="17">
        <f t="shared" si="0"/>
        <v>275.8</v>
      </c>
      <c r="M9" s="17">
        <v>261.39999999999998</v>
      </c>
      <c r="N9" s="17">
        <f t="shared" si="0"/>
        <v>437.19999999999993</v>
      </c>
      <c r="O9" s="17">
        <v>179</v>
      </c>
      <c r="P9" s="17">
        <f t="shared" si="0"/>
        <v>235.5</v>
      </c>
      <c r="Q9" s="17">
        <v>145</v>
      </c>
      <c r="R9" s="17">
        <f t="shared" si="0"/>
        <v>190.8</v>
      </c>
      <c r="S9" s="17">
        <v>170.9</v>
      </c>
      <c r="T9" s="17">
        <f t="shared" si="0"/>
        <v>242.3</v>
      </c>
    </row>
    <row r="10" spans="1:20" x14ac:dyDescent="0.2">
      <c r="A10" s="14" t="s">
        <v>20</v>
      </c>
      <c r="C10" s="13">
        <v>5.6</v>
      </c>
      <c r="D10" s="18">
        <f t="shared" si="1"/>
        <v>0.96420000000000017</v>
      </c>
      <c r="E10" s="18">
        <f t="shared" si="2"/>
        <v>0.98727999999999994</v>
      </c>
      <c r="F10" s="18">
        <f t="shared" si="3"/>
        <v>0.95483999999999991</v>
      </c>
      <c r="G10" s="18">
        <f t="shared" si="4"/>
        <v>0.94817999999999991</v>
      </c>
      <c r="H10" s="18">
        <f t="shared" si="5"/>
        <v>0.96655999999999997</v>
      </c>
      <c r="I10" s="13"/>
      <c r="J10" s="17">
        <v>2.5</v>
      </c>
      <c r="K10" s="17">
        <v>223.1</v>
      </c>
      <c r="L10" s="17">
        <f t="shared" si="0"/>
        <v>498.9</v>
      </c>
      <c r="M10" s="17">
        <v>229.1</v>
      </c>
      <c r="N10" s="17">
        <f t="shared" si="0"/>
        <v>666.3</v>
      </c>
      <c r="O10" s="17">
        <v>218.3</v>
      </c>
      <c r="P10" s="17">
        <f t="shared" si="0"/>
        <v>453.8</v>
      </c>
      <c r="Q10" s="17">
        <v>197.6</v>
      </c>
      <c r="R10" s="17">
        <f t="shared" si="0"/>
        <v>388.4</v>
      </c>
      <c r="S10" s="17">
        <v>247.8</v>
      </c>
      <c r="T10" s="17">
        <f t="shared" si="0"/>
        <v>490.1</v>
      </c>
    </row>
    <row r="11" spans="1:20" x14ac:dyDescent="0.2">
      <c r="A11" s="13" t="s">
        <v>1</v>
      </c>
      <c r="C11" s="13">
        <v>2.8</v>
      </c>
      <c r="D11" s="18">
        <f t="shared" si="1"/>
        <v>0.60485999999999995</v>
      </c>
      <c r="E11" s="18">
        <f t="shared" si="2"/>
        <v>0.75653999999999988</v>
      </c>
      <c r="F11" s="18">
        <f t="shared" si="3"/>
        <v>0.55874000000000001</v>
      </c>
      <c r="G11" s="18">
        <f t="shared" si="4"/>
        <v>0.5038999999999999</v>
      </c>
      <c r="H11" s="18">
        <f t="shared" si="5"/>
        <v>0.60314000000000001</v>
      </c>
      <c r="I11" s="13"/>
      <c r="J11" s="17">
        <v>3</v>
      </c>
      <c r="K11" s="17">
        <v>176.6</v>
      </c>
      <c r="L11" s="17">
        <f t="shared" si="0"/>
        <v>675.5</v>
      </c>
      <c r="M11" s="17">
        <v>150.4</v>
      </c>
      <c r="N11" s="17">
        <f t="shared" si="0"/>
        <v>816.69999999999993</v>
      </c>
      <c r="O11" s="17">
        <v>174.9</v>
      </c>
      <c r="P11" s="17">
        <f t="shared" si="0"/>
        <v>628.70000000000005</v>
      </c>
      <c r="Q11" s="17">
        <v>192.5</v>
      </c>
      <c r="R11" s="17">
        <f t="shared" si="0"/>
        <v>580.9</v>
      </c>
      <c r="S11" s="17">
        <v>188.4</v>
      </c>
      <c r="T11" s="17">
        <f t="shared" si="0"/>
        <v>678.5</v>
      </c>
    </row>
    <row r="12" spans="1:20" x14ac:dyDescent="0.2">
      <c r="A12" s="14" t="s">
        <v>6</v>
      </c>
      <c r="C12" s="13">
        <v>2.8</v>
      </c>
      <c r="D12" s="18">
        <f t="shared" si="1"/>
        <v>0.60485999999999995</v>
      </c>
      <c r="E12" s="18">
        <f t="shared" si="2"/>
        <v>0.75653999999999988</v>
      </c>
      <c r="F12" s="18">
        <f t="shared" si="3"/>
        <v>0.55874000000000001</v>
      </c>
      <c r="G12" s="18">
        <f t="shared" si="4"/>
        <v>0.5038999999999999</v>
      </c>
      <c r="H12" s="18">
        <f t="shared" si="5"/>
        <v>0.60314000000000001</v>
      </c>
      <c r="I12" s="13"/>
      <c r="J12" s="17">
        <v>3.5</v>
      </c>
      <c r="K12" s="17">
        <v>117.6</v>
      </c>
      <c r="L12" s="17">
        <f t="shared" si="0"/>
        <v>793.1</v>
      </c>
      <c r="M12" s="17">
        <v>80</v>
      </c>
      <c r="N12" s="17">
        <f t="shared" si="0"/>
        <v>896.69999999999993</v>
      </c>
      <c r="O12" s="17">
        <v>121.9</v>
      </c>
      <c r="P12" s="17">
        <f t="shared" si="0"/>
        <v>750.6</v>
      </c>
      <c r="Q12" s="17">
        <v>142.80000000000001</v>
      </c>
      <c r="R12" s="17">
        <f t="shared" si="0"/>
        <v>723.7</v>
      </c>
      <c r="S12" s="17">
        <v>124.9</v>
      </c>
      <c r="T12" s="17">
        <f t="shared" si="0"/>
        <v>803.4</v>
      </c>
    </row>
    <row r="13" spans="1:20" x14ac:dyDescent="0.2">
      <c r="A13" s="14" t="s">
        <v>7</v>
      </c>
      <c r="C13" s="13">
        <v>2.8</v>
      </c>
      <c r="D13" s="18">
        <f t="shared" si="1"/>
        <v>0.60485999999999995</v>
      </c>
      <c r="E13" s="18">
        <f t="shared" si="2"/>
        <v>0.75653999999999988</v>
      </c>
      <c r="F13" s="18">
        <f t="shared" si="3"/>
        <v>0.55874000000000001</v>
      </c>
      <c r="G13" s="18">
        <f t="shared" si="4"/>
        <v>0.5038999999999999</v>
      </c>
      <c r="H13" s="18">
        <f t="shared" si="5"/>
        <v>0.60314000000000001</v>
      </c>
      <c r="I13" s="13"/>
      <c r="J13" s="17">
        <v>4</v>
      </c>
      <c r="K13" s="17">
        <v>73.5</v>
      </c>
      <c r="L13" s="17">
        <f t="shared" si="0"/>
        <v>866.6</v>
      </c>
      <c r="M13" s="17">
        <v>44.2</v>
      </c>
      <c r="N13" s="17">
        <f t="shared" si="0"/>
        <v>940.9</v>
      </c>
      <c r="O13" s="17">
        <v>85</v>
      </c>
      <c r="P13" s="17">
        <f t="shared" si="0"/>
        <v>835.6</v>
      </c>
      <c r="Q13" s="17">
        <v>92.8</v>
      </c>
      <c r="R13" s="17">
        <f t="shared" si="0"/>
        <v>816.5</v>
      </c>
      <c r="S13" s="17">
        <v>71.3</v>
      </c>
      <c r="T13" s="17">
        <f t="shared" si="0"/>
        <v>874.69999999999993</v>
      </c>
    </row>
    <row r="14" spans="1:20" x14ac:dyDescent="0.2">
      <c r="A14" s="14" t="s">
        <v>8</v>
      </c>
      <c r="C14" s="13">
        <v>2.8</v>
      </c>
      <c r="D14" s="18">
        <f t="shared" si="1"/>
        <v>0.60485999999999995</v>
      </c>
      <c r="E14" s="18">
        <f t="shared" si="2"/>
        <v>0.75653999999999988</v>
      </c>
      <c r="F14" s="18">
        <f t="shared" si="3"/>
        <v>0.55874000000000001</v>
      </c>
      <c r="G14" s="18">
        <f t="shared" si="4"/>
        <v>0.5038999999999999</v>
      </c>
      <c r="H14" s="18">
        <f t="shared" si="5"/>
        <v>0.60314000000000001</v>
      </c>
      <c r="I14" s="13"/>
      <c r="J14" s="17">
        <v>4.5</v>
      </c>
      <c r="K14" s="17">
        <v>46.1</v>
      </c>
      <c r="L14" s="17">
        <f t="shared" si="0"/>
        <v>912.7</v>
      </c>
      <c r="M14" s="17">
        <v>24.7</v>
      </c>
      <c r="N14" s="17">
        <f t="shared" si="0"/>
        <v>965.6</v>
      </c>
      <c r="O14" s="17">
        <v>53.8</v>
      </c>
      <c r="P14" s="17">
        <f t="shared" si="0"/>
        <v>889.4</v>
      </c>
      <c r="Q14" s="17">
        <v>61</v>
      </c>
      <c r="R14" s="17">
        <f t="shared" si="0"/>
        <v>877.5</v>
      </c>
      <c r="S14" s="17">
        <v>44.2</v>
      </c>
      <c r="T14" s="17">
        <f t="shared" si="0"/>
        <v>918.9</v>
      </c>
    </row>
    <row r="15" spans="1:20" x14ac:dyDescent="0.2">
      <c r="A15" s="14" t="s">
        <v>9</v>
      </c>
      <c r="C15" s="13">
        <v>2.8</v>
      </c>
      <c r="D15" s="18">
        <f t="shared" si="1"/>
        <v>0.60485999999999995</v>
      </c>
      <c r="E15" s="18">
        <f t="shared" si="2"/>
        <v>0.75653999999999988</v>
      </c>
      <c r="F15" s="18">
        <f t="shared" si="3"/>
        <v>0.55874000000000001</v>
      </c>
      <c r="G15" s="18">
        <f t="shared" si="4"/>
        <v>0.5038999999999999</v>
      </c>
      <c r="H15" s="18">
        <f t="shared" si="5"/>
        <v>0.60314000000000001</v>
      </c>
      <c r="I15" s="13"/>
      <c r="J15" s="17">
        <v>5</v>
      </c>
      <c r="K15" s="17">
        <v>29.7</v>
      </c>
      <c r="L15" s="17">
        <f t="shared" si="0"/>
        <v>942.40000000000009</v>
      </c>
      <c r="M15" s="17">
        <v>12.8</v>
      </c>
      <c r="N15" s="17">
        <f t="shared" si="0"/>
        <v>978.4</v>
      </c>
      <c r="O15" s="17">
        <v>35.9</v>
      </c>
      <c r="P15" s="17">
        <f t="shared" si="0"/>
        <v>925.3</v>
      </c>
      <c r="Q15" s="17">
        <v>40.799999999999997</v>
      </c>
      <c r="R15" s="17">
        <f t="shared" si="0"/>
        <v>918.3</v>
      </c>
      <c r="S15" s="17">
        <v>28.6</v>
      </c>
      <c r="T15" s="17">
        <f t="shared" si="0"/>
        <v>947.5</v>
      </c>
    </row>
    <row r="16" spans="1:20" x14ac:dyDescent="0.2">
      <c r="A16" s="14" t="s">
        <v>53</v>
      </c>
      <c r="C16" s="13">
        <v>2.8</v>
      </c>
      <c r="D16" s="18">
        <f t="shared" si="1"/>
        <v>0.60485999999999995</v>
      </c>
      <c r="E16" s="18">
        <f t="shared" si="2"/>
        <v>0.75653999999999988</v>
      </c>
      <c r="F16" s="18">
        <f t="shared" si="3"/>
        <v>0.55874000000000001</v>
      </c>
      <c r="G16" s="18">
        <f t="shared" si="4"/>
        <v>0.5038999999999999</v>
      </c>
      <c r="H16" s="18">
        <f t="shared" si="5"/>
        <v>0.60314000000000001</v>
      </c>
      <c r="I16" s="13"/>
      <c r="J16" s="17">
        <v>5.5</v>
      </c>
      <c r="K16" s="17">
        <v>19.2</v>
      </c>
      <c r="L16" s="17">
        <f t="shared" si="0"/>
        <v>961.60000000000014</v>
      </c>
      <c r="M16" s="17">
        <v>8</v>
      </c>
      <c r="N16" s="17">
        <f t="shared" si="0"/>
        <v>986.4</v>
      </c>
      <c r="O16" s="17">
        <v>25.8</v>
      </c>
      <c r="P16" s="17">
        <f t="shared" si="0"/>
        <v>951.09999999999991</v>
      </c>
      <c r="Q16" s="17">
        <v>26.6</v>
      </c>
      <c r="R16" s="17">
        <f t="shared" si="0"/>
        <v>944.9</v>
      </c>
      <c r="S16" s="17">
        <v>16.5</v>
      </c>
      <c r="T16" s="17">
        <f t="shared" si="0"/>
        <v>964</v>
      </c>
    </row>
    <row r="17" spans="1:20" x14ac:dyDescent="0.2">
      <c r="A17" s="14" t="s">
        <v>16</v>
      </c>
      <c r="C17" s="13">
        <v>2.8</v>
      </c>
      <c r="D17" s="18">
        <f t="shared" si="1"/>
        <v>0.60485999999999995</v>
      </c>
      <c r="E17" s="18">
        <f t="shared" si="2"/>
        <v>0.75653999999999988</v>
      </c>
      <c r="F17" s="18">
        <f t="shared" si="3"/>
        <v>0.55874000000000001</v>
      </c>
      <c r="G17" s="18">
        <f t="shared" si="4"/>
        <v>0.5038999999999999</v>
      </c>
      <c r="H17" s="18">
        <f t="shared" si="5"/>
        <v>0.60314000000000001</v>
      </c>
      <c r="I17" s="13"/>
      <c r="J17" s="17">
        <v>6</v>
      </c>
      <c r="K17" s="17">
        <v>13</v>
      </c>
      <c r="L17" s="17">
        <f t="shared" si="0"/>
        <v>974.60000000000014</v>
      </c>
      <c r="M17" s="17">
        <v>4.4000000000000004</v>
      </c>
      <c r="N17" s="17">
        <f t="shared" si="0"/>
        <v>990.8</v>
      </c>
      <c r="O17" s="17">
        <v>18.7</v>
      </c>
      <c r="P17" s="17">
        <f t="shared" si="0"/>
        <v>969.8</v>
      </c>
      <c r="Q17" s="17">
        <v>16.399999999999999</v>
      </c>
      <c r="R17" s="17">
        <f t="shared" si="0"/>
        <v>961.3</v>
      </c>
      <c r="S17" s="17">
        <v>12.8</v>
      </c>
      <c r="T17" s="17">
        <f t="shared" si="0"/>
        <v>976.8</v>
      </c>
    </row>
    <row r="18" spans="1:20" x14ac:dyDescent="0.2">
      <c r="A18" s="14" t="s">
        <v>54</v>
      </c>
      <c r="C18" s="13">
        <v>2.8</v>
      </c>
      <c r="D18" s="18">
        <f t="shared" si="1"/>
        <v>0.60485999999999995</v>
      </c>
      <c r="E18" s="18">
        <f t="shared" si="2"/>
        <v>0.75653999999999988</v>
      </c>
      <c r="F18" s="18">
        <f t="shared" si="3"/>
        <v>0.55874000000000001</v>
      </c>
      <c r="G18" s="18">
        <f t="shared" si="4"/>
        <v>0.5038999999999999</v>
      </c>
      <c r="H18" s="18">
        <f t="shared" si="5"/>
        <v>0.60314000000000001</v>
      </c>
      <c r="I18" s="13"/>
      <c r="J18" s="17">
        <v>6.5</v>
      </c>
      <c r="K18" s="17">
        <v>8.4</v>
      </c>
      <c r="L18" s="17">
        <f t="shared" si="0"/>
        <v>983.00000000000011</v>
      </c>
      <c r="M18" s="17">
        <v>2.9</v>
      </c>
      <c r="N18" s="17">
        <f t="shared" si="0"/>
        <v>993.69999999999993</v>
      </c>
      <c r="O18" s="17">
        <v>10.1</v>
      </c>
      <c r="P18" s="17">
        <f t="shared" si="0"/>
        <v>979.9</v>
      </c>
      <c r="Q18" s="17">
        <v>10.7</v>
      </c>
      <c r="R18" s="17">
        <f t="shared" si="0"/>
        <v>972</v>
      </c>
      <c r="S18" s="17">
        <v>10.4</v>
      </c>
      <c r="T18" s="17">
        <f t="shared" si="0"/>
        <v>987.19999999999993</v>
      </c>
    </row>
    <row r="19" spans="1:20" x14ac:dyDescent="0.2">
      <c r="A19" s="13" t="s">
        <v>1</v>
      </c>
      <c r="B19" s="14" t="s">
        <v>70</v>
      </c>
      <c r="C19" s="13">
        <v>3.1</v>
      </c>
      <c r="D19" s="18">
        <f t="shared" si="1"/>
        <v>0.69901999999999997</v>
      </c>
      <c r="E19" s="18">
        <f t="shared" si="2"/>
        <v>0.83269999999999988</v>
      </c>
      <c r="F19" s="18">
        <f t="shared" si="3"/>
        <v>0.65307999999999999</v>
      </c>
      <c r="G19" s="18">
        <f t="shared" si="4"/>
        <v>0.60946</v>
      </c>
      <c r="H19" s="18">
        <f t="shared" si="5"/>
        <v>0.70347999999999999</v>
      </c>
      <c r="I19" s="13"/>
      <c r="J19" s="17">
        <v>7</v>
      </c>
      <c r="K19" s="17">
        <v>4.7</v>
      </c>
      <c r="L19" s="17">
        <f t="shared" si="0"/>
        <v>987.70000000000016</v>
      </c>
      <c r="M19" s="17">
        <v>1.9</v>
      </c>
      <c r="N19" s="17">
        <f t="shared" si="0"/>
        <v>995.59999999999991</v>
      </c>
      <c r="O19" s="17">
        <v>6.4</v>
      </c>
      <c r="P19" s="17">
        <f t="shared" si="0"/>
        <v>986.3</v>
      </c>
      <c r="Q19" s="17">
        <v>6.4</v>
      </c>
      <c r="R19" s="17">
        <f t="shared" si="0"/>
        <v>978.4</v>
      </c>
      <c r="S19" s="17">
        <v>4.7</v>
      </c>
      <c r="T19" s="17">
        <f t="shared" si="0"/>
        <v>991.9</v>
      </c>
    </row>
    <row r="20" spans="1:20" x14ac:dyDescent="0.2">
      <c r="A20" s="14" t="s">
        <v>6</v>
      </c>
      <c r="C20" s="13">
        <v>3.1</v>
      </c>
      <c r="D20" s="18">
        <f t="shared" si="1"/>
        <v>0.69901999999999997</v>
      </c>
      <c r="E20" s="18">
        <f t="shared" si="2"/>
        <v>0.83269999999999988</v>
      </c>
      <c r="F20" s="18">
        <f t="shared" si="3"/>
        <v>0.65307999999999999</v>
      </c>
      <c r="G20" s="18">
        <f t="shared" si="4"/>
        <v>0.60946</v>
      </c>
      <c r="H20" s="18">
        <f t="shared" si="5"/>
        <v>0.70347999999999999</v>
      </c>
      <c r="I20" s="13"/>
      <c r="J20" s="17">
        <v>7.5</v>
      </c>
      <c r="K20" s="17">
        <v>3.2</v>
      </c>
      <c r="L20" s="17">
        <f t="shared" si="0"/>
        <v>990.9000000000002</v>
      </c>
      <c r="M20" s="17">
        <v>1.2</v>
      </c>
      <c r="N20" s="17">
        <f t="shared" si="0"/>
        <v>996.8</v>
      </c>
      <c r="O20" s="17">
        <v>4.8</v>
      </c>
      <c r="P20" s="17">
        <f t="shared" si="0"/>
        <v>991.09999999999991</v>
      </c>
      <c r="Q20" s="17">
        <v>4.4000000000000004</v>
      </c>
      <c r="R20" s="17">
        <f t="shared" si="0"/>
        <v>982.8</v>
      </c>
      <c r="S20" s="17">
        <v>2.7</v>
      </c>
      <c r="T20" s="17">
        <f t="shared" si="0"/>
        <v>994.6</v>
      </c>
    </row>
    <row r="21" spans="1:20" x14ac:dyDescent="0.2">
      <c r="A21" s="14" t="s">
        <v>7</v>
      </c>
      <c r="C21" s="13">
        <v>3.1</v>
      </c>
      <c r="D21" s="18">
        <f t="shared" si="1"/>
        <v>0.69901999999999997</v>
      </c>
      <c r="E21" s="18">
        <f t="shared" si="2"/>
        <v>0.83269999999999988</v>
      </c>
      <c r="F21" s="18">
        <f t="shared" si="3"/>
        <v>0.65307999999999999</v>
      </c>
      <c r="G21" s="18">
        <f t="shared" si="4"/>
        <v>0.60946</v>
      </c>
      <c r="H21" s="18">
        <f t="shared" si="5"/>
        <v>0.70347999999999999</v>
      </c>
      <c r="I21" s="13"/>
      <c r="J21" s="17">
        <v>8</v>
      </c>
      <c r="K21" s="17">
        <v>2.4</v>
      </c>
      <c r="L21" s="17">
        <f t="shared" si="0"/>
        <v>993.30000000000018</v>
      </c>
      <c r="M21" s="17">
        <v>0.6</v>
      </c>
      <c r="N21" s="17">
        <f t="shared" si="0"/>
        <v>997.4</v>
      </c>
      <c r="O21" s="17">
        <v>2.6</v>
      </c>
      <c r="P21" s="17">
        <f t="shared" si="0"/>
        <v>993.69999999999993</v>
      </c>
      <c r="Q21" s="17">
        <v>5.0999999999999996</v>
      </c>
      <c r="R21" s="17">
        <f t="shared" si="0"/>
        <v>987.9</v>
      </c>
      <c r="S21" s="17">
        <v>1.5</v>
      </c>
      <c r="T21" s="17">
        <f t="shared" si="0"/>
        <v>996.1</v>
      </c>
    </row>
    <row r="22" spans="1:20" x14ac:dyDescent="0.2">
      <c r="A22" s="14" t="s">
        <v>8</v>
      </c>
      <c r="C22" s="13">
        <v>3.1</v>
      </c>
      <c r="D22" s="18">
        <f>(($C22-INDEX($J$5:$J$30,MATCH($C22,$J$5:$J$30)))/(INDEX($J$5:$J$30,MATCH($C22,$J$5:$J$30)+1)-INDEX($J$5:$J$30,MATCH($C22,$J$5:$J$30)))*(INDEX($L$5:$L$30,MATCH($C22,$J$5:$J$30)+1)-INDEX($L$5:$L$30,MATCH($C22,$J$5:$J$30)))+INDEX($L$5:$L$30,MATCH($C22,$J$5:$J$30)))/1000</f>
        <v>0.69901999999999997</v>
      </c>
      <c r="E22" s="18">
        <f t="shared" si="2"/>
        <v>0.83269999999999988</v>
      </c>
      <c r="F22" s="18">
        <f t="shared" si="3"/>
        <v>0.65307999999999999</v>
      </c>
      <c r="G22" s="18">
        <f t="shared" si="4"/>
        <v>0.60946</v>
      </c>
      <c r="H22" s="18">
        <f t="shared" si="5"/>
        <v>0.70347999999999999</v>
      </c>
      <c r="I22" s="13"/>
      <c r="J22" s="17">
        <v>8.5</v>
      </c>
      <c r="K22" s="17">
        <v>1.8</v>
      </c>
      <c r="L22" s="17">
        <f t="shared" si="0"/>
        <v>995.10000000000014</v>
      </c>
      <c r="M22" s="17">
        <v>0.2</v>
      </c>
      <c r="N22" s="17">
        <f t="shared" si="0"/>
        <v>997.6</v>
      </c>
      <c r="O22" s="17">
        <v>2.4</v>
      </c>
      <c r="P22" s="17">
        <f t="shared" si="0"/>
        <v>996.09999999999991</v>
      </c>
      <c r="Q22" s="17">
        <v>3.9</v>
      </c>
      <c r="R22" s="17">
        <f t="shared" si="0"/>
        <v>991.8</v>
      </c>
      <c r="S22" s="17">
        <v>1</v>
      </c>
      <c r="T22" s="17">
        <f t="shared" si="0"/>
        <v>997.1</v>
      </c>
    </row>
    <row r="23" spans="1:20" x14ac:dyDescent="0.2">
      <c r="A23" s="14" t="s">
        <v>9</v>
      </c>
      <c r="C23" s="13">
        <v>3.1</v>
      </c>
      <c r="D23" s="18">
        <f t="shared" si="1"/>
        <v>0.69901999999999997</v>
      </c>
      <c r="E23" s="18">
        <f t="shared" si="2"/>
        <v>0.83269999999999988</v>
      </c>
      <c r="F23" s="18">
        <f t="shared" si="3"/>
        <v>0.65307999999999999</v>
      </c>
      <c r="G23" s="18">
        <f t="shared" si="4"/>
        <v>0.60946</v>
      </c>
      <c r="H23" s="18">
        <f t="shared" si="5"/>
        <v>0.70347999999999999</v>
      </c>
      <c r="I23" s="13"/>
      <c r="J23" s="17">
        <v>9</v>
      </c>
      <c r="K23" s="17">
        <v>1.3</v>
      </c>
      <c r="L23" s="17">
        <f t="shared" ref="L23:T30" si="6">L22+K23</f>
        <v>996.40000000000009</v>
      </c>
      <c r="M23" s="17">
        <v>0.2</v>
      </c>
      <c r="N23" s="17">
        <f t="shared" si="6"/>
        <v>997.80000000000007</v>
      </c>
      <c r="O23" s="17">
        <v>0.9</v>
      </c>
      <c r="P23" s="17">
        <f t="shared" si="6"/>
        <v>996.99999999999989</v>
      </c>
      <c r="Q23" s="17">
        <v>3.3</v>
      </c>
      <c r="R23" s="17">
        <f t="shared" si="6"/>
        <v>995.09999999999991</v>
      </c>
      <c r="S23" s="17">
        <v>0.8</v>
      </c>
      <c r="T23" s="17">
        <f t="shared" si="6"/>
        <v>997.9</v>
      </c>
    </row>
    <row r="24" spans="1:20" x14ac:dyDescent="0.2">
      <c r="A24" s="14" t="s">
        <v>53</v>
      </c>
      <c r="C24" s="13">
        <v>3.1</v>
      </c>
      <c r="D24" s="18">
        <f t="shared" si="1"/>
        <v>0.69901999999999997</v>
      </c>
      <c r="E24" s="18">
        <f t="shared" si="2"/>
        <v>0.83269999999999988</v>
      </c>
      <c r="F24" s="18">
        <f t="shared" si="3"/>
        <v>0.65307999999999999</v>
      </c>
      <c r="G24" s="18">
        <f t="shared" si="4"/>
        <v>0.60946</v>
      </c>
      <c r="H24" s="18">
        <f t="shared" si="5"/>
        <v>0.70347999999999999</v>
      </c>
      <c r="J24" s="17">
        <v>9.5</v>
      </c>
      <c r="K24" s="17">
        <v>0.8</v>
      </c>
      <c r="L24" s="17">
        <f t="shared" si="6"/>
        <v>997.2</v>
      </c>
      <c r="M24" s="17">
        <v>0.1</v>
      </c>
      <c r="N24" s="17">
        <f t="shared" si="6"/>
        <v>997.90000000000009</v>
      </c>
      <c r="O24" s="17">
        <v>1.1000000000000001</v>
      </c>
      <c r="P24" s="17">
        <f t="shared" si="6"/>
        <v>998.09999999999991</v>
      </c>
      <c r="Q24" s="17">
        <v>1.3</v>
      </c>
      <c r="R24" s="17">
        <f t="shared" si="6"/>
        <v>996.39999999999986</v>
      </c>
      <c r="S24" s="17">
        <v>0.7</v>
      </c>
      <c r="T24" s="17">
        <f t="shared" si="6"/>
        <v>998.6</v>
      </c>
    </row>
    <row r="25" spans="1:20" x14ac:dyDescent="0.2">
      <c r="A25" s="14" t="s">
        <v>16</v>
      </c>
      <c r="C25" s="13">
        <v>3.1</v>
      </c>
      <c r="D25" s="18">
        <f t="shared" si="1"/>
        <v>0.69901999999999997</v>
      </c>
      <c r="E25" s="18">
        <f t="shared" si="2"/>
        <v>0.83269999999999988</v>
      </c>
      <c r="F25" s="18">
        <f t="shared" si="3"/>
        <v>0.65307999999999999</v>
      </c>
      <c r="G25" s="18">
        <f t="shared" si="4"/>
        <v>0.60946</v>
      </c>
      <c r="H25" s="18">
        <f t="shared" si="5"/>
        <v>0.70347999999999999</v>
      </c>
      <c r="J25" s="17">
        <v>10</v>
      </c>
      <c r="K25" s="17">
        <v>0.6</v>
      </c>
      <c r="L25" s="17">
        <f t="shared" si="6"/>
        <v>997.80000000000007</v>
      </c>
      <c r="M25" s="17">
        <v>0.1</v>
      </c>
      <c r="N25" s="17">
        <f t="shared" si="6"/>
        <v>998.00000000000011</v>
      </c>
      <c r="O25" s="17">
        <v>0.4</v>
      </c>
      <c r="P25" s="17">
        <f t="shared" si="6"/>
        <v>998.49999999999989</v>
      </c>
      <c r="Q25" s="17">
        <v>1</v>
      </c>
      <c r="R25" s="17">
        <f t="shared" si="6"/>
        <v>997.39999999999986</v>
      </c>
      <c r="S25" s="17">
        <v>0.8</v>
      </c>
      <c r="T25" s="17">
        <f t="shared" si="6"/>
        <v>999.4</v>
      </c>
    </row>
    <row r="26" spans="1:20" x14ac:dyDescent="0.2">
      <c r="A26" s="14" t="s">
        <v>54</v>
      </c>
      <c r="C26" s="13">
        <v>3.1</v>
      </c>
      <c r="D26" s="18">
        <f t="shared" si="1"/>
        <v>0.69901999999999997</v>
      </c>
      <c r="E26" s="18">
        <f t="shared" si="2"/>
        <v>0.83269999999999988</v>
      </c>
      <c r="F26" s="18">
        <f t="shared" si="3"/>
        <v>0.65307999999999999</v>
      </c>
      <c r="G26" s="18">
        <f t="shared" si="4"/>
        <v>0.60946</v>
      </c>
      <c r="H26" s="18">
        <f t="shared" si="5"/>
        <v>0.70347999999999999</v>
      </c>
      <c r="J26" s="17">
        <v>10.5</v>
      </c>
      <c r="K26" s="17">
        <v>0.2</v>
      </c>
      <c r="L26" s="17">
        <f t="shared" si="6"/>
        <v>998.00000000000011</v>
      </c>
      <c r="M26" s="17">
        <v>0.2</v>
      </c>
      <c r="N26" s="17">
        <f t="shared" si="6"/>
        <v>998.20000000000016</v>
      </c>
      <c r="O26" s="17">
        <v>0.2</v>
      </c>
      <c r="P26" s="17">
        <f t="shared" si="6"/>
        <v>998.69999999999993</v>
      </c>
      <c r="Q26" s="17">
        <v>0.6</v>
      </c>
      <c r="R26" s="17">
        <f t="shared" si="6"/>
        <v>997.99999999999989</v>
      </c>
      <c r="S26" s="17">
        <v>0</v>
      </c>
      <c r="T26" s="17">
        <f t="shared" si="6"/>
        <v>999.4</v>
      </c>
    </row>
    <row r="27" spans="1:20" x14ac:dyDescent="0.2">
      <c r="A27" s="13" t="s">
        <v>1</v>
      </c>
      <c r="B27" s="14" t="s">
        <v>69</v>
      </c>
      <c r="C27" s="13">
        <v>3.36</v>
      </c>
      <c r="D27" s="18">
        <f t="shared" si="1"/>
        <v>0.76017200000000007</v>
      </c>
      <c r="E27" s="18">
        <f t="shared" si="2"/>
        <v>0.87429999999999997</v>
      </c>
      <c r="F27" s="18">
        <f t="shared" si="3"/>
        <v>0.71646799999999999</v>
      </c>
      <c r="G27" s="18">
        <f t="shared" si="4"/>
        <v>0.68371599999999999</v>
      </c>
      <c r="H27" s="18">
        <f t="shared" si="5"/>
        <v>0.768428</v>
      </c>
      <c r="J27" s="17">
        <v>11</v>
      </c>
      <c r="K27" s="17">
        <v>0.3</v>
      </c>
      <c r="L27" s="17">
        <f t="shared" si="6"/>
        <v>998.30000000000007</v>
      </c>
      <c r="M27" s="17">
        <v>0.1</v>
      </c>
      <c r="N27" s="17">
        <f t="shared" si="6"/>
        <v>998.30000000000018</v>
      </c>
      <c r="O27" s="17">
        <v>0.4</v>
      </c>
      <c r="P27" s="17">
        <f t="shared" si="6"/>
        <v>999.09999999999991</v>
      </c>
      <c r="Q27" s="17">
        <v>0.3</v>
      </c>
      <c r="R27" s="17">
        <f t="shared" si="6"/>
        <v>998.29999999999984</v>
      </c>
      <c r="S27" s="17">
        <v>0.2</v>
      </c>
      <c r="T27" s="17">
        <f t="shared" si="6"/>
        <v>999.6</v>
      </c>
    </row>
    <row r="28" spans="1:20" x14ac:dyDescent="0.2">
      <c r="A28" s="14" t="s">
        <v>6</v>
      </c>
      <c r="C28" s="13">
        <v>3.36</v>
      </c>
      <c r="D28" s="18">
        <f t="shared" si="1"/>
        <v>0.76017200000000007</v>
      </c>
      <c r="E28" s="18">
        <f t="shared" si="2"/>
        <v>0.87429999999999997</v>
      </c>
      <c r="F28" s="18">
        <f t="shared" si="3"/>
        <v>0.71646799999999999</v>
      </c>
      <c r="G28" s="18">
        <f t="shared" si="4"/>
        <v>0.68371599999999999</v>
      </c>
      <c r="H28" s="18">
        <f t="shared" si="5"/>
        <v>0.768428</v>
      </c>
      <c r="J28" s="17">
        <v>11.5</v>
      </c>
      <c r="K28" s="17">
        <v>0.2</v>
      </c>
      <c r="L28" s="17">
        <f t="shared" si="6"/>
        <v>998.50000000000011</v>
      </c>
      <c r="M28" s="17">
        <v>0.3</v>
      </c>
      <c r="N28" s="17">
        <f t="shared" si="6"/>
        <v>998.60000000000014</v>
      </c>
      <c r="O28" s="17">
        <v>0.2</v>
      </c>
      <c r="P28" s="17">
        <f t="shared" si="6"/>
        <v>999.3</v>
      </c>
      <c r="Q28" s="17">
        <v>0.4</v>
      </c>
      <c r="R28" s="17">
        <f t="shared" si="6"/>
        <v>998.69999999999982</v>
      </c>
      <c r="S28" s="17">
        <v>0.1</v>
      </c>
      <c r="T28" s="17">
        <f t="shared" si="6"/>
        <v>999.7</v>
      </c>
    </row>
    <row r="29" spans="1:20" x14ac:dyDescent="0.2">
      <c r="A29" s="14" t="s">
        <v>7</v>
      </c>
      <c r="C29" s="13">
        <v>3.36</v>
      </c>
      <c r="D29" s="18">
        <f t="shared" si="1"/>
        <v>0.76017200000000007</v>
      </c>
      <c r="E29" s="18">
        <f t="shared" si="2"/>
        <v>0.87429999999999997</v>
      </c>
      <c r="F29" s="18">
        <f t="shared" si="3"/>
        <v>0.71646799999999999</v>
      </c>
      <c r="G29" s="18">
        <f t="shared" si="4"/>
        <v>0.68371599999999999</v>
      </c>
      <c r="H29" s="18">
        <f t="shared" si="5"/>
        <v>0.768428</v>
      </c>
      <c r="J29" s="17">
        <v>12</v>
      </c>
      <c r="K29" s="17">
        <v>0.2</v>
      </c>
      <c r="L29" s="17">
        <f t="shared" si="6"/>
        <v>998.70000000000016</v>
      </c>
      <c r="M29" s="17">
        <v>0.3</v>
      </c>
      <c r="N29" s="17">
        <f t="shared" si="6"/>
        <v>998.90000000000009</v>
      </c>
      <c r="O29" s="17">
        <v>0</v>
      </c>
      <c r="P29" s="17">
        <f t="shared" si="6"/>
        <v>999.3</v>
      </c>
      <c r="Q29" s="17">
        <v>0.2</v>
      </c>
      <c r="R29" s="17">
        <f t="shared" si="6"/>
        <v>998.89999999999986</v>
      </c>
      <c r="S29" s="17">
        <v>0</v>
      </c>
      <c r="T29" s="17">
        <f t="shared" si="6"/>
        <v>999.7</v>
      </c>
    </row>
    <row r="30" spans="1:20" x14ac:dyDescent="0.2">
      <c r="A30" s="14" t="s">
        <v>8</v>
      </c>
      <c r="C30" s="13">
        <v>3.36</v>
      </c>
      <c r="D30" s="18">
        <f t="shared" si="1"/>
        <v>0.76017200000000007</v>
      </c>
      <c r="E30" s="18">
        <f t="shared" si="2"/>
        <v>0.87429999999999997</v>
      </c>
      <c r="F30" s="18">
        <f t="shared" si="3"/>
        <v>0.71646799999999999</v>
      </c>
      <c r="G30" s="18">
        <f t="shared" si="4"/>
        <v>0.68371599999999999</v>
      </c>
      <c r="H30" s="18">
        <f t="shared" si="5"/>
        <v>0.768428</v>
      </c>
      <c r="J30" s="17">
        <v>12.5</v>
      </c>
      <c r="K30" s="17">
        <v>0</v>
      </c>
      <c r="L30" s="17">
        <f t="shared" si="6"/>
        <v>998.70000000000016</v>
      </c>
      <c r="M30" s="17">
        <v>0.1</v>
      </c>
      <c r="N30" s="17">
        <f t="shared" si="6"/>
        <v>999.00000000000011</v>
      </c>
      <c r="O30" s="17">
        <v>0</v>
      </c>
      <c r="P30" s="17">
        <f t="shared" si="6"/>
        <v>999.3</v>
      </c>
      <c r="Q30" s="17">
        <v>0</v>
      </c>
      <c r="R30" s="17">
        <f t="shared" si="6"/>
        <v>998.89999999999986</v>
      </c>
      <c r="S30" s="17">
        <v>0</v>
      </c>
      <c r="T30" s="17">
        <f t="shared" si="6"/>
        <v>999.7</v>
      </c>
    </row>
    <row r="31" spans="1:20" x14ac:dyDescent="0.2">
      <c r="A31" s="14" t="s">
        <v>9</v>
      </c>
      <c r="C31" s="13">
        <v>3.36</v>
      </c>
      <c r="D31" s="18">
        <f t="shared" si="1"/>
        <v>0.76017200000000007</v>
      </c>
      <c r="E31" s="18">
        <f t="shared" si="2"/>
        <v>0.87429999999999997</v>
      </c>
      <c r="F31" s="18">
        <f t="shared" si="3"/>
        <v>0.71646799999999999</v>
      </c>
      <c r="G31" s="18">
        <f t="shared" si="4"/>
        <v>0.68371599999999999</v>
      </c>
      <c r="H31" s="18">
        <f t="shared" si="5"/>
        <v>0.768428</v>
      </c>
    </row>
    <row r="32" spans="1:20" x14ac:dyDescent="0.2">
      <c r="A32" s="14" t="s">
        <v>53</v>
      </c>
      <c r="C32" s="13">
        <v>3.36</v>
      </c>
      <c r="D32" s="18">
        <f t="shared" si="1"/>
        <v>0.76017200000000007</v>
      </c>
      <c r="E32" s="18">
        <f t="shared" si="2"/>
        <v>0.87429999999999997</v>
      </c>
      <c r="F32" s="18">
        <f t="shared" si="3"/>
        <v>0.71646799999999999</v>
      </c>
      <c r="G32" s="18">
        <f t="shared" si="4"/>
        <v>0.68371599999999999</v>
      </c>
      <c r="H32" s="18">
        <f t="shared" si="5"/>
        <v>0.768428</v>
      </c>
    </row>
    <row r="33" spans="1:8" x14ac:dyDescent="0.2">
      <c r="A33" s="14" t="s">
        <v>16</v>
      </c>
      <c r="C33" s="13">
        <v>3.36</v>
      </c>
      <c r="D33" s="18">
        <f t="shared" si="1"/>
        <v>0.76017200000000007</v>
      </c>
      <c r="E33" s="18">
        <f t="shared" si="2"/>
        <v>0.87429999999999997</v>
      </c>
      <c r="F33" s="18">
        <f t="shared" si="3"/>
        <v>0.71646799999999999</v>
      </c>
      <c r="G33" s="18">
        <f t="shared" si="4"/>
        <v>0.68371599999999999</v>
      </c>
      <c r="H33" s="18">
        <f t="shared" si="5"/>
        <v>0.768428</v>
      </c>
    </row>
    <row r="34" spans="1:8" x14ac:dyDescent="0.2">
      <c r="A34" s="14" t="s">
        <v>54</v>
      </c>
      <c r="C34" s="13">
        <v>3.36</v>
      </c>
      <c r="D34" s="18">
        <f t="shared" si="1"/>
        <v>0.76017200000000007</v>
      </c>
      <c r="E34" s="18">
        <f t="shared" si="2"/>
        <v>0.87429999999999997</v>
      </c>
      <c r="F34" s="18">
        <f t="shared" si="3"/>
        <v>0.71646799999999999</v>
      </c>
      <c r="G34" s="18">
        <f t="shared" si="4"/>
        <v>0.68371599999999999</v>
      </c>
      <c r="H34" s="18">
        <f t="shared" si="5"/>
        <v>0.768428</v>
      </c>
    </row>
    <row r="35" spans="1:8" x14ac:dyDescent="0.2">
      <c r="A35" s="13" t="s">
        <v>2</v>
      </c>
      <c r="C35" s="13">
        <v>6.8</v>
      </c>
      <c r="D35" s="18">
        <f t="shared" si="1"/>
        <v>0.98582000000000014</v>
      </c>
      <c r="E35" s="18">
        <f t="shared" si="2"/>
        <v>0.99483999999999995</v>
      </c>
      <c r="F35" s="18">
        <f t="shared" si="3"/>
        <v>0.98374000000000006</v>
      </c>
      <c r="G35" s="18">
        <f t="shared" si="4"/>
        <v>0.97584000000000004</v>
      </c>
      <c r="H35" s="18">
        <f t="shared" si="5"/>
        <v>0.99002000000000001</v>
      </c>
    </row>
    <row r="36" spans="1:8" x14ac:dyDescent="0.2">
      <c r="A36" s="14" t="s">
        <v>10</v>
      </c>
      <c r="C36" s="13">
        <v>6.8</v>
      </c>
      <c r="D36" s="18">
        <f t="shared" si="1"/>
        <v>0.98582000000000014</v>
      </c>
      <c r="E36" s="18">
        <f t="shared" si="2"/>
        <v>0.99483999999999995</v>
      </c>
      <c r="F36" s="18">
        <f t="shared" si="3"/>
        <v>0.98374000000000006</v>
      </c>
      <c r="G36" s="18">
        <f t="shared" si="4"/>
        <v>0.97584000000000004</v>
      </c>
      <c r="H36" s="18">
        <f t="shared" si="5"/>
        <v>0.99002000000000001</v>
      </c>
    </row>
    <row r="37" spans="1:8" x14ac:dyDescent="0.2">
      <c r="A37" s="13" t="s">
        <v>3</v>
      </c>
      <c r="C37" s="13">
        <v>18.399999999999999</v>
      </c>
      <c r="D37" s="18">
        <v>1</v>
      </c>
      <c r="E37" s="18">
        <v>1</v>
      </c>
      <c r="F37" s="18">
        <v>1</v>
      </c>
      <c r="G37" s="18">
        <v>1</v>
      </c>
      <c r="H37" s="18">
        <v>1</v>
      </c>
    </row>
    <row r="38" spans="1:8" x14ac:dyDescent="0.2">
      <c r="C38" s="19"/>
    </row>
    <row r="39" spans="1:8" x14ac:dyDescent="0.2">
      <c r="C39" s="19"/>
    </row>
    <row r="40" spans="1:8" x14ac:dyDescent="0.2">
      <c r="C40" s="19"/>
    </row>
    <row r="42" spans="1:8" x14ac:dyDescent="0.2">
      <c r="A42" s="14" t="s">
        <v>57</v>
      </c>
    </row>
    <row r="43" spans="1:8" x14ac:dyDescent="0.2">
      <c r="A43" s="14" t="s">
        <v>58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X37"/>
  <sheetViews>
    <sheetView topLeftCell="A3" zoomScaleNormal="100" workbookViewId="0">
      <selection activeCell="E5" sqref="E5"/>
    </sheetView>
  </sheetViews>
  <sheetFormatPr defaultRowHeight="12.75" x14ac:dyDescent="0.2"/>
  <cols>
    <col min="2" max="2" width="28.28515625" customWidth="1"/>
    <col min="16" max="16" width="10.28515625" bestFit="1" customWidth="1"/>
  </cols>
  <sheetData>
    <row r="1" spans="2:24" x14ac:dyDescent="0.2">
      <c r="E1" s="22" t="s">
        <v>48</v>
      </c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2:24" x14ac:dyDescent="0.2">
      <c r="E2" s="1" t="s">
        <v>24</v>
      </c>
      <c r="F2" s="1" t="s">
        <v>25</v>
      </c>
      <c r="G2" s="1" t="s">
        <v>26</v>
      </c>
      <c r="H2" s="1" t="s">
        <v>27</v>
      </c>
      <c r="I2" s="1" t="s">
        <v>28</v>
      </c>
      <c r="J2" s="1" t="s">
        <v>29</v>
      </c>
      <c r="K2" s="1" t="s">
        <v>30</v>
      </c>
      <c r="L2" s="1" t="s">
        <v>31</v>
      </c>
      <c r="M2" s="1" t="s">
        <v>32</v>
      </c>
      <c r="N2" s="1" t="s">
        <v>33</v>
      </c>
      <c r="O2" s="1" t="s">
        <v>34</v>
      </c>
      <c r="P2" s="1" t="s">
        <v>35</v>
      </c>
    </row>
    <row r="3" spans="2:24" ht="38.25" x14ac:dyDescent="0.2">
      <c r="C3" t="s">
        <v>21</v>
      </c>
      <c r="D3" t="s">
        <v>21</v>
      </c>
      <c r="E3" s="2" t="s">
        <v>36</v>
      </c>
      <c r="F3" s="2" t="s">
        <v>36</v>
      </c>
      <c r="G3" s="2" t="s">
        <v>36</v>
      </c>
      <c r="H3" s="2" t="s">
        <v>36</v>
      </c>
      <c r="I3" s="2" t="s">
        <v>36</v>
      </c>
      <c r="J3" s="2" t="s">
        <v>36</v>
      </c>
      <c r="K3" s="2" t="s">
        <v>36</v>
      </c>
      <c r="L3" s="2" t="s">
        <v>36</v>
      </c>
      <c r="M3" s="2" t="s">
        <v>36</v>
      </c>
      <c r="N3" s="2" t="s">
        <v>36</v>
      </c>
      <c r="O3" s="2" t="s">
        <v>36</v>
      </c>
      <c r="P3" s="2" t="s">
        <v>36</v>
      </c>
    </row>
    <row r="4" spans="2:24" x14ac:dyDescent="0.2">
      <c r="C4" t="s">
        <v>22</v>
      </c>
      <c r="D4" t="s">
        <v>23</v>
      </c>
      <c r="E4" s="1">
        <v>26.97</v>
      </c>
      <c r="F4" s="1">
        <v>26.49</v>
      </c>
      <c r="G4" s="1">
        <v>28.38</v>
      </c>
      <c r="H4" s="1">
        <v>23.86</v>
      </c>
      <c r="I4" s="1">
        <v>28.21</v>
      </c>
      <c r="J4" s="1">
        <v>29.02</v>
      </c>
      <c r="K4" s="1">
        <v>24.68</v>
      </c>
      <c r="L4" s="1">
        <v>24.01</v>
      </c>
      <c r="M4" s="1">
        <v>23.12</v>
      </c>
      <c r="N4" s="1">
        <v>25.16</v>
      </c>
      <c r="O4" s="1">
        <v>22.21</v>
      </c>
      <c r="P4" s="1">
        <v>22.11</v>
      </c>
      <c r="Q4" s="1"/>
      <c r="R4" s="1"/>
    </row>
    <row r="5" spans="2:24" x14ac:dyDescent="0.2">
      <c r="B5" s="1" t="s">
        <v>0</v>
      </c>
      <c r="C5">
        <v>40</v>
      </c>
      <c r="D5" s="3">
        <f>0.5144444*C5</f>
        <v>20.577776</v>
      </c>
      <c r="E5" s="9" t="s">
        <v>47</v>
      </c>
      <c r="F5" s="9" t="s">
        <v>47</v>
      </c>
      <c r="G5" s="9" t="s">
        <v>47</v>
      </c>
      <c r="H5" s="9" t="s">
        <v>47</v>
      </c>
      <c r="I5" s="9" t="s">
        <v>47</v>
      </c>
      <c r="J5" s="9" t="s">
        <v>47</v>
      </c>
      <c r="K5" s="9" t="s">
        <v>47</v>
      </c>
      <c r="L5" s="9" t="s">
        <v>47</v>
      </c>
      <c r="M5" s="9" t="s">
        <v>47</v>
      </c>
      <c r="N5" s="9" t="s">
        <v>47</v>
      </c>
      <c r="O5" s="9" t="s">
        <v>47</v>
      </c>
      <c r="P5" s="9" t="s">
        <v>47</v>
      </c>
      <c r="S5" t="s">
        <v>60</v>
      </c>
      <c r="T5">
        <v>0</v>
      </c>
      <c r="U5" t="s">
        <v>61</v>
      </c>
      <c r="V5">
        <v>1</v>
      </c>
      <c r="W5">
        <v>3.7</v>
      </c>
      <c r="X5">
        <f>W5</f>
        <v>3.7</v>
      </c>
    </row>
    <row r="6" spans="2:24" x14ac:dyDescent="0.2">
      <c r="B6" t="s">
        <v>5</v>
      </c>
      <c r="C6">
        <v>40</v>
      </c>
      <c r="D6" s="3">
        <f t="shared" ref="D6:D25" si="0">0.5144444*C6</f>
        <v>20.577776</v>
      </c>
      <c r="E6" s="9" t="s">
        <v>47</v>
      </c>
      <c r="F6" s="9" t="s">
        <v>47</v>
      </c>
      <c r="G6" s="9" t="s">
        <v>47</v>
      </c>
      <c r="H6" s="9" t="s">
        <v>47</v>
      </c>
      <c r="I6" s="9" t="s">
        <v>47</v>
      </c>
      <c r="J6" s="9" t="s">
        <v>47</v>
      </c>
      <c r="K6" s="9" t="s">
        <v>47</v>
      </c>
      <c r="L6" s="9" t="s">
        <v>47</v>
      </c>
      <c r="M6" s="9" t="s">
        <v>47</v>
      </c>
      <c r="N6" s="9" t="s">
        <v>47</v>
      </c>
      <c r="O6" s="9" t="s">
        <v>47</v>
      </c>
      <c r="P6" s="9" t="s">
        <v>47</v>
      </c>
      <c r="S6" t="s">
        <v>60</v>
      </c>
      <c r="T6">
        <v>1</v>
      </c>
      <c r="U6" t="s">
        <v>61</v>
      </c>
      <c r="V6">
        <v>2</v>
      </c>
      <c r="W6">
        <v>17.2</v>
      </c>
      <c r="X6">
        <f>X5+W6</f>
        <v>20.9</v>
      </c>
    </row>
    <row r="7" spans="2:24" x14ac:dyDescent="0.2">
      <c r="B7" t="s">
        <v>19</v>
      </c>
      <c r="C7">
        <v>35</v>
      </c>
      <c r="D7" s="3">
        <f t="shared" si="0"/>
        <v>18.005554</v>
      </c>
      <c r="E7" s="9" t="s">
        <v>47</v>
      </c>
      <c r="F7" s="9" t="s">
        <v>47</v>
      </c>
      <c r="G7" s="9" t="s">
        <v>47</v>
      </c>
      <c r="H7" s="9" t="s">
        <v>47</v>
      </c>
      <c r="I7" s="9" t="s">
        <v>47</v>
      </c>
      <c r="J7" s="9" t="s">
        <v>47</v>
      </c>
      <c r="K7" s="9" t="s">
        <v>47</v>
      </c>
      <c r="L7" s="9" t="s">
        <v>47</v>
      </c>
      <c r="M7" s="9" t="s">
        <v>47</v>
      </c>
      <c r="N7" s="9" t="s">
        <v>47</v>
      </c>
      <c r="O7" s="9" t="s">
        <v>47</v>
      </c>
      <c r="P7" s="9" t="s">
        <v>47</v>
      </c>
      <c r="S7" t="s">
        <v>60</v>
      </c>
      <c r="T7">
        <v>2</v>
      </c>
      <c r="U7" t="s">
        <v>61</v>
      </c>
      <c r="V7">
        <v>3</v>
      </c>
      <c r="W7">
        <v>33.1</v>
      </c>
      <c r="X7">
        <f t="shared" ref="X7:X37" si="1">X6+W7</f>
        <v>54</v>
      </c>
    </row>
    <row r="8" spans="2:24" x14ac:dyDescent="0.2">
      <c r="B8" t="s">
        <v>20</v>
      </c>
      <c r="C8">
        <v>30</v>
      </c>
      <c r="D8" s="3">
        <f t="shared" si="0"/>
        <v>15.433332</v>
      </c>
      <c r="E8" s="9" t="s">
        <v>47</v>
      </c>
      <c r="F8" s="9" t="s">
        <v>47</v>
      </c>
      <c r="G8" s="9" t="s">
        <v>47</v>
      </c>
      <c r="H8" s="9" t="s">
        <v>47</v>
      </c>
      <c r="I8" s="9" t="s">
        <v>47</v>
      </c>
      <c r="J8" s="9" t="s">
        <v>44</v>
      </c>
      <c r="K8" s="9" t="s">
        <v>47</v>
      </c>
      <c r="L8" s="9" t="s">
        <v>47</v>
      </c>
      <c r="M8" s="9" t="s">
        <v>47</v>
      </c>
      <c r="N8" s="9" t="s">
        <v>47</v>
      </c>
      <c r="O8" s="9" t="s">
        <v>47</v>
      </c>
      <c r="P8" s="9" t="s">
        <v>47</v>
      </c>
      <c r="S8" t="s">
        <v>60</v>
      </c>
      <c r="T8">
        <v>3</v>
      </c>
      <c r="U8" t="s">
        <v>61</v>
      </c>
      <c r="V8">
        <v>4</v>
      </c>
      <c r="W8">
        <v>50.1</v>
      </c>
      <c r="X8">
        <f t="shared" si="1"/>
        <v>104.1</v>
      </c>
    </row>
    <row r="9" spans="2:24" x14ac:dyDescent="0.2">
      <c r="B9" s="1" t="s">
        <v>1</v>
      </c>
      <c r="C9">
        <v>40</v>
      </c>
      <c r="D9" s="3">
        <f t="shared" si="0"/>
        <v>20.577776</v>
      </c>
      <c r="E9" s="9" t="s">
        <v>47</v>
      </c>
      <c r="F9" s="9" t="s">
        <v>47</v>
      </c>
      <c r="G9" s="9" t="s">
        <v>47</v>
      </c>
      <c r="H9" s="9" t="s">
        <v>47</v>
      </c>
      <c r="I9" s="9" t="s">
        <v>47</v>
      </c>
      <c r="J9" s="9" t="s">
        <v>47</v>
      </c>
      <c r="K9" s="9" t="s">
        <v>47</v>
      </c>
      <c r="L9" s="9" t="s">
        <v>47</v>
      </c>
      <c r="M9" s="9" t="s">
        <v>47</v>
      </c>
      <c r="N9" s="9" t="s">
        <v>47</v>
      </c>
      <c r="O9" s="9" t="s">
        <v>47</v>
      </c>
      <c r="P9" s="9" t="s">
        <v>47</v>
      </c>
      <c r="S9" t="s">
        <v>60</v>
      </c>
      <c r="T9">
        <v>4</v>
      </c>
      <c r="U9" t="s">
        <v>61</v>
      </c>
      <c r="V9">
        <v>5</v>
      </c>
      <c r="W9">
        <v>71</v>
      </c>
      <c r="X9">
        <f t="shared" si="1"/>
        <v>175.1</v>
      </c>
    </row>
    <row r="10" spans="2:24" x14ac:dyDescent="0.2">
      <c r="B10" t="s">
        <v>4</v>
      </c>
      <c r="C10">
        <v>40</v>
      </c>
      <c r="D10" s="3">
        <f t="shared" si="0"/>
        <v>20.577776</v>
      </c>
      <c r="E10" s="9" t="s">
        <v>47</v>
      </c>
      <c r="F10" s="9" t="s">
        <v>47</v>
      </c>
      <c r="G10" s="9" t="s">
        <v>47</v>
      </c>
      <c r="H10" s="9" t="s">
        <v>47</v>
      </c>
      <c r="I10" s="9" t="s">
        <v>47</v>
      </c>
      <c r="J10" s="9" t="s">
        <v>47</v>
      </c>
      <c r="K10" s="9" t="s">
        <v>47</v>
      </c>
      <c r="L10" s="9" t="s">
        <v>47</v>
      </c>
      <c r="M10" s="9" t="s">
        <v>47</v>
      </c>
      <c r="N10" s="9" t="s">
        <v>47</v>
      </c>
      <c r="O10" s="9" t="s">
        <v>47</v>
      </c>
      <c r="P10" s="9" t="s">
        <v>47</v>
      </c>
      <c r="S10" t="s">
        <v>60</v>
      </c>
      <c r="T10">
        <v>5</v>
      </c>
      <c r="U10" t="s">
        <v>61</v>
      </c>
      <c r="V10">
        <v>6</v>
      </c>
      <c r="W10">
        <v>86.8</v>
      </c>
      <c r="X10">
        <f t="shared" si="1"/>
        <v>261.89999999999998</v>
      </c>
    </row>
    <row r="11" spans="2:24" x14ac:dyDescent="0.2">
      <c r="B11" t="s">
        <v>6</v>
      </c>
      <c r="C11">
        <v>30</v>
      </c>
      <c r="D11" s="3">
        <f t="shared" si="0"/>
        <v>15.433332</v>
      </c>
      <c r="E11" s="9" t="s">
        <v>47</v>
      </c>
      <c r="F11" s="9" t="s">
        <v>47</v>
      </c>
      <c r="G11" s="9" t="s">
        <v>47</v>
      </c>
      <c r="H11" s="9" t="s">
        <v>47</v>
      </c>
      <c r="I11" s="9" t="s">
        <v>47</v>
      </c>
      <c r="J11" s="9" t="s">
        <v>44</v>
      </c>
      <c r="K11" s="9" t="s">
        <v>47</v>
      </c>
      <c r="L11" s="9" t="s">
        <v>47</v>
      </c>
      <c r="M11" s="9" t="s">
        <v>47</v>
      </c>
      <c r="N11" s="9" t="s">
        <v>47</v>
      </c>
      <c r="O11" s="9" t="s">
        <v>47</v>
      </c>
      <c r="P11" s="9" t="s">
        <v>47</v>
      </c>
      <c r="S11" t="s">
        <v>60</v>
      </c>
      <c r="T11">
        <v>6</v>
      </c>
      <c r="U11" t="s">
        <v>61</v>
      </c>
      <c r="V11">
        <v>7</v>
      </c>
      <c r="W11">
        <v>100</v>
      </c>
      <c r="X11">
        <f t="shared" si="1"/>
        <v>361.9</v>
      </c>
    </row>
    <row r="12" spans="2:24" x14ac:dyDescent="0.2">
      <c r="B12" t="s">
        <v>7</v>
      </c>
      <c r="C12">
        <v>30</v>
      </c>
      <c r="D12" s="3">
        <f t="shared" si="0"/>
        <v>15.433332</v>
      </c>
      <c r="E12" s="9" t="s">
        <v>47</v>
      </c>
      <c r="F12" s="9" t="s">
        <v>47</v>
      </c>
      <c r="G12" s="9" t="s">
        <v>47</v>
      </c>
      <c r="H12" s="9" t="s">
        <v>47</v>
      </c>
      <c r="I12" s="9" t="s">
        <v>47</v>
      </c>
      <c r="J12" s="9" t="s">
        <v>44</v>
      </c>
      <c r="K12" s="9" t="s">
        <v>47</v>
      </c>
      <c r="L12" s="9" t="s">
        <v>47</v>
      </c>
      <c r="M12" s="9" t="s">
        <v>47</v>
      </c>
      <c r="N12" s="9" t="s">
        <v>47</v>
      </c>
      <c r="O12" s="9" t="s">
        <v>47</v>
      </c>
      <c r="P12" s="9" t="s">
        <v>47</v>
      </c>
      <c r="S12" t="s">
        <v>60</v>
      </c>
      <c r="T12">
        <v>7</v>
      </c>
      <c r="U12" t="s">
        <v>61</v>
      </c>
      <c r="V12">
        <v>8</v>
      </c>
      <c r="W12">
        <v>102.8</v>
      </c>
      <c r="X12">
        <f t="shared" si="1"/>
        <v>464.7</v>
      </c>
    </row>
    <row r="13" spans="2:24" x14ac:dyDescent="0.2">
      <c r="B13" t="s">
        <v>8</v>
      </c>
      <c r="C13">
        <v>30</v>
      </c>
      <c r="D13" s="3">
        <f t="shared" si="0"/>
        <v>15.433332</v>
      </c>
      <c r="E13" s="9" t="s">
        <v>47</v>
      </c>
      <c r="F13" s="9" t="s">
        <v>47</v>
      </c>
      <c r="G13" s="9" t="s">
        <v>47</v>
      </c>
      <c r="H13" s="9" t="s">
        <v>47</v>
      </c>
      <c r="I13" s="9" t="s">
        <v>47</v>
      </c>
      <c r="J13" s="9" t="s">
        <v>44</v>
      </c>
      <c r="K13" s="9" t="s">
        <v>47</v>
      </c>
      <c r="L13" s="9" t="s">
        <v>47</v>
      </c>
      <c r="M13" s="9" t="s">
        <v>47</v>
      </c>
      <c r="N13" s="9" t="s">
        <v>47</v>
      </c>
      <c r="O13" s="9" t="s">
        <v>47</v>
      </c>
      <c r="P13" s="9" t="s">
        <v>47</v>
      </c>
      <c r="S13" t="s">
        <v>60</v>
      </c>
      <c r="T13">
        <v>8</v>
      </c>
      <c r="U13" t="s">
        <v>61</v>
      </c>
      <c r="V13">
        <v>9</v>
      </c>
      <c r="W13">
        <v>102.3</v>
      </c>
      <c r="X13">
        <f t="shared" si="1"/>
        <v>567</v>
      </c>
    </row>
    <row r="14" spans="2:24" x14ac:dyDescent="0.2">
      <c r="B14" t="s">
        <v>9</v>
      </c>
      <c r="C14">
        <v>40</v>
      </c>
      <c r="D14" s="3">
        <f t="shared" si="0"/>
        <v>20.577776</v>
      </c>
      <c r="E14" s="9" t="s">
        <v>47</v>
      </c>
      <c r="F14" s="9" t="s">
        <v>47</v>
      </c>
      <c r="G14" s="9" t="s">
        <v>47</v>
      </c>
      <c r="H14" s="9" t="s">
        <v>47</v>
      </c>
      <c r="I14" s="9" t="s">
        <v>47</v>
      </c>
      <c r="J14" s="9" t="s">
        <v>47</v>
      </c>
      <c r="K14" s="9" t="s">
        <v>47</v>
      </c>
      <c r="L14" s="9" t="s">
        <v>47</v>
      </c>
      <c r="M14" s="9" t="s">
        <v>47</v>
      </c>
      <c r="N14" s="9" t="s">
        <v>47</v>
      </c>
      <c r="O14" s="9" t="s">
        <v>47</v>
      </c>
      <c r="P14" s="9" t="s">
        <v>47</v>
      </c>
      <c r="S14" t="s">
        <v>60</v>
      </c>
      <c r="T14">
        <v>9</v>
      </c>
      <c r="U14" t="s">
        <v>61</v>
      </c>
      <c r="V14">
        <v>10</v>
      </c>
      <c r="W14">
        <v>99.1</v>
      </c>
      <c r="X14">
        <f t="shared" si="1"/>
        <v>666.1</v>
      </c>
    </row>
    <row r="15" spans="2:24" x14ac:dyDescent="0.2">
      <c r="B15" t="s">
        <v>11</v>
      </c>
      <c r="C15">
        <v>30</v>
      </c>
      <c r="D15" s="3">
        <f t="shared" si="0"/>
        <v>15.433332</v>
      </c>
      <c r="E15" s="9" t="s">
        <v>47</v>
      </c>
      <c r="F15" s="9" t="s">
        <v>47</v>
      </c>
      <c r="G15" s="9" t="s">
        <v>47</v>
      </c>
      <c r="H15" s="9" t="s">
        <v>47</v>
      </c>
      <c r="I15" s="9" t="s">
        <v>47</v>
      </c>
      <c r="J15" s="9" t="s">
        <v>44</v>
      </c>
      <c r="K15" s="9" t="s">
        <v>47</v>
      </c>
      <c r="L15" s="9" t="s">
        <v>47</v>
      </c>
      <c r="M15" s="9" t="s">
        <v>47</v>
      </c>
      <c r="N15" s="9" t="s">
        <v>47</v>
      </c>
      <c r="O15" s="9" t="s">
        <v>47</v>
      </c>
      <c r="P15" s="9" t="s">
        <v>47</v>
      </c>
      <c r="S15" t="s">
        <v>60</v>
      </c>
      <c r="T15">
        <v>10</v>
      </c>
      <c r="U15" t="s">
        <v>61</v>
      </c>
      <c r="V15">
        <v>11</v>
      </c>
      <c r="W15">
        <v>87.5</v>
      </c>
      <c r="X15">
        <f t="shared" si="1"/>
        <v>753.6</v>
      </c>
    </row>
    <row r="16" spans="2:24" x14ac:dyDescent="0.2">
      <c r="B16" t="s">
        <v>12</v>
      </c>
      <c r="C16">
        <v>40</v>
      </c>
      <c r="D16" s="3">
        <f t="shared" si="0"/>
        <v>20.577776</v>
      </c>
      <c r="E16" s="9" t="s">
        <v>47</v>
      </c>
      <c r="F16" s="9" t="s">
        <v>47</v>
      </c>
      <c r="G16" s="9" t="s">
        <v>47</v>
      </c>
      <c r="H16" s="9" t="s">
        <v>47</v>
      </c>
      <c r="I16" s="9" t="s">
        <v>47</v>
      </c>
      <c r="J16" s="9" t="s">
        <v>47</v>
      </c>
      <c r="K16" s="9" t="s">
        <v>47</v>
      </c>
      <c r="L16" s="9" t="s">
        <v>47</v>
      </c>
      <c r="M16" s="9" t="s">
        <v>47</v>
      </c>
      <c r="N16" s="9" t="s">
        <v>47</v>
      </c>
      <c r="O16" s="9" t="s">
        <v>47</v>
      </c>
      <c r="P16" s="9" t="s">
        <v>47</v>
      </c>
      <c r="S16" t="s">
        <v>60</v>
      </c>
      <c r="T16">
        <v>11</v>
      </c>
      <c r="U16" t="s">
        <v>61</v>
      </c>
      <c r="V16">
        <v>12</v>
      </c>
      <c r="W16">
        <v>71.900000000000006</v>
      </c>
      <c r="X16">
        <f t="shared" si="1"/>
        <v>825.5</v>
      </c>
    </row>
    <row r="17" spans="2:24" x14ac:dyDescent="0.2">
      <c r="B17" t="s">
        <v>13</v>
      </c>
      <c r="C17">
        <v>30</v>
      </c>
      <c r="D17" s="3">
        <f t="shared" si="0"/>
        <v>15.433332</v>
      </c>
      <c r="E17" s="9" t="s">
        <v>47</v>
      </c>
      <c r="F17" s="9" t="s">
        <v>47</v>
      </c>
      <c r="G17" s="9" t="s">
        <v>47</v>
      </c>
      <c r="H17" s="9" t="s">
        <v>47</v>
      </c>
      <c r="I17" s="9" t="s">
        <v>47</v>
      </c>
      <c r="J17" s="9" t="s">
        <v>44</v>
      </c>
      <c r="K17" s="9" t="s">
        <v>47</v>
      </c>
      <c r="L17" s="9" t="s">
        <v>47</v>
      </c>
      <c r="M17" s="9" t="s">
        <v>47</v>
      </c>
      <c r="N17" s="9" t="s">
        <v>47</v>
      </c>
      <c r="O17" s="9" t="s">
        <v>47</v>
      </c>
      <c r="P17" s="9" t="s">
        <v>47</v>
      </c>
      <c r="S17" t="s">
        <v>60</v>
      </c>
      <c r="T17">
        <v>12</v>
      </c>
      <c r="U17" t="s">
        <v>61</v>
      </c>
      <c r="V17">
        <v>13</v>
      </c>
      <c r="W17">
        <v>56</v>
      </c>
      <c r="X17">
        <f t="shared" si="1"/>
        <v>881.5</v>
      </c>
    </row>
    <row r="18" spans="2:24" x14ac:dyDescent="0.2">
      <c r="B18" t="s">
        <v>14</v>
      </c>
      <c r="C18">
        <v>30</v>
      </c>
      <c r="D18" s="3">
        <f t="shared" si="0"/>
        <v>15.433332</v>
      </c>
      <c r="E18" s="9" t="s">
        <v>47</v>
      </c>
      <c r="F18" s="9" t="s">
        <v>47</v>
      </c>
      <c r="G18" s="9" t="s">
        <v>47</v>
      </c>
      <c r="H18" s="9" t="s">
        <v>47</v>
      </c>
      <c r="I18" s="9" t="s">
        <v>47</v>
      </c>
      <c r="J18" s="9" t="s">
        <v>44</v>
      </c>
      <c r="K18" s="9" t="s">
        <v>47</v>
      </c>
      <c r="L18" s="9" t="s">
        <v>47</v>
      </c>
      <c r="M18" s="9" t="s">
        <v>47</v>
      </c>
      <c r="N18" s="9" t="s">
        <v>47</v>
      </c>
      <c r="O18" s="9" t="s">
        <v>47</v>
      </c>
      <c r="P18" s="9" t="s">
        <v>47</v>
      </c>
      <c r="S18" t="s">
        <v>60</v>
      </c>
      <c r="T18">
        <v>13</v>
      </c>
      <c r="U18" t="s">
        <v>61</v>
      </c>
      <c r="V18">
        <v>14</v>
      </c>
      <c r="W18">
        <v>42.2</v>
      </c>
      <c r="X18">
        <f t="shared" si="1"/>
        <v>923.7</v>
      </c>
    </row>
    <row r="19" spans="2:24" x14ac:dyDescent="0.2">
      <c r="B19" t="s">
        <v>15</v>
      </c>
      <c r="C19">
        <v>40</v>
      </c>
      <c r="D19" s="3">
        <f t="shared" si="0"/>
        <v>20.577776</v>
      </c>
      <c r="E19" s="9" t="s">
        <v>47</v>
      </c>
      <c r="F19" s="9" t="s">
        <v>47</v>
      </c>
      <c r="G19" s="9" t="s">
        <v>47</v>
      </c>
      <c r="H19" s="9" t="s">
        <v>47</v>
      </c>
      <c r="I19" s="9" t="s">
        <v>47</v>
      </c>
      <c r="J19" s="9" t="s">
        <v>47</v>
      </c>
      <c r="K19" s="9" t="s">
        <v>47</v>
      </c>
      <c r="L19" s="9" t="s">
        <v>47</v>
      </c>
      <c r="M19" s="9" t="s">
        <v>47</v>
      </c>
      <c r="N19" s="9" t="s">
        <v>47</v>
      </c>
      <c r="O19" s="9" t="s">
        <v>47</v>
      </c>
      <c r="P19" s="9" t="s">
        <v>47</v>
      </c>
      <c r="S19" t="s">
        <v>60</v>
      </c>
      <c r="T19">
        <v>14</v>
      </c>
      <c r="U19" t="s">
        <v>61</v>
      </c>
      <c r="V19">
        <v>15</v>
      </c>
      <c r="W19">
        <v>28.2</v>
      </c>
      <c r="X19">
        <f t="shared" si="1"/>
        <v>951.90000000000009</v>
      </c>
    </row>
    <row r="20" spans="2:24" x14ac:dyDescent="0.2">
      <c r="B20" t="s">
        <v>16</v>
      </c>
      <c r="C20">
        <v>40</v>
      </c>
      <c r="D20" s="3">
        <f t="shared" si="0"/>
        <v>20.577776</v>
      </c>
      <c r="E20" s="9" t="s">
        <v>47</v>
      </c>
      <c r="F20" s="9" t="s">
        <v>47</v>
      </c>
      <c r="G20" s="9" t="s">
        <v>47</v>
      </c>
      <c r="H20" s="9" t="s">
        <v>47</v>
      </c>
      <c r="I20" s="9" t="s">
        <v>47</v>
      </c>
      <c r="J20" s="9" t="s">
        <v>47</v>
      </c>
      <c r="K20" s="9" t="s">
        <v>47</v>
      </c>
      <c r="L20" s="9" t="s">
        <v>47</v>
      </c>
      <c r="M20" s="9" t="s">
        <v>47</v>
      </c>
      <c r="N20" s="9" t="s">
        <v>47</v>
      </c>
      <c r="O20" s="9" t="s">
        <v>47</v>
      </c>
      <c r="P20" s="9" t="s">
        <v>47</v>
      </c>
      <c r="S20" t="s">
        <v>60</v>
      </c>
      <c r="T20">
        <v>15</v>
      </c>
      <c r="U20" t="s">
        <v>61</v>
      </c>
      <c r="V20">
        <v>16</v>
      </c>
      <c r="W20">
        <v>17.8</v>
      </c>
      <c r="X20">
        <f t="shared" si="1"/>
        <v>969.7</v>
      </c>
    </row>
    <row r="21" spans="2:24" x14ac:dyDescent="0.2">
      <c r="B21" t="s">
        <v>17</v>
      </c>
      <c r="C21">
        <v>35</v>
      </c>
      <c r="D21" s="3">
        <f t="shared" si="0"/>
        <v>18.005554</v>
      </c>
      <c r="E21" s="9" t="s">
        <v>47</v>
      </c>
      <c r="F21" s="9" t="s">
        <v>47</v>
      </c>
      <c r="G21" s="9" t="s">
        <v>47</v>
      </c>
      <c r="H21" s="9" t="s">
        <v>47</v>
      </c>
      <c r="I21" s="9" t="s">
        <v>47</v>
      </c>
      <c r="J21" s="9" t="s">
        <v>47</v>
      </c>
      <c r="K21" s="9" t="s">
        <v>47</v>
      </c>
      <c r="L21" s="9" t="s">
        <v>47</v>
      </c>
      <c r="M21" s="9" t="s">
        <v>47</v>
      </c>
      <c r="N21" s="9" t="s">
        <v>47</v>
      </c>
      <c r="O21" s="9" t="s">
        <v>47</v>
      </c>
      <c r="P21" s="9" t="s">
        <v>47</v>
      </c>
      <c r="S21" t="s">
        <v>60</v>
      </c>
      <c r="T21">
        <v>16</v>
      </c>
      <c r="U21" t="s">
        <v>61</v>
      </c>
      <c r="V21">
        <v>17</v>
      </c>
      <c r="W21">
        <v>12.1</v>
      </c>
      <c r="X21">
        <f t="shared" si="1"/>
        <v>981.80000000000007</v>
      </c>
    </row>
    <row r="22" spans="2:24" x14ac:dyDescent="0.2">
      <c r="B22" t="s">
        <v>18</v>
      </c>
      <c r="C22">
        <v>40</v>
      </c>
      <c r="D22" s="3">
        <f t="shared" si="0"/>
        <v>20.577776</v>
      </c>
      <c r="E22" s="9" t="s">
        <v>47</v>
      </c>
      <c r="F22" s="9" t="s">
        <v>47</v>
      </c>
      <c r="G22" s="9" t="s">
        <v>47</v>
      </c>
      <c r="H22" s="9" t="s">
        <v>47</v>
      </c>
      <c r="I22" s="9" t="s">
        <v>47</v>
      </c>
      <c r="J22" s="9" t="s">
        <v>47</v>
      </c>
      <c r="K22" s="9" t="s">
        <v>47</v>
      </c>
      <c r="L22" s="9" t="s">
        <v>47</v>
      </c>
      <c r="M22" s="9" t="s">
        <v>47</v>
      </c>
      <c r="N22" s="9" t="s">
        <v>47</v>
      </c>
      <c r="O22" s="9" t="s">
        <v>47</v>
      </c>
      <c r="P22" s="9" t="s">
        <v>47</v>
      </c>
      <c r="S22" t="s">
        <v>60</v>
      </c>
      <c r="T22">
        <v>17</v>
      </c>
      <c r="U22" t="s">
        <v>61</v>
      </c>
      <c r="V22">
        <v>18</v>
      </c>
      <c r="W22">
        <v>7.2</v>
      </c>
      <c r="X22">
        <f t="shared" si="1"/>
        <v>989.00000000000011</v>
      </c>
    </row>
    <row r="23" spans="2:24" x14ac:dyDescent="0.2">
      <c r="B23" s="1" t="s">
        <v>2</v>
      </c>
      <c r="C23">
        <v>50</v>
      </c>
      <c r="D23" s="3">
        <f t="shared" si="0"/>
        <v>25.72222</v>
      </c>
      <c r="E23" s="9" t="s">
        <v>47</v>
      </c>
      <c r="F23" s="9" t="s">
        <v>47</v>
      </c>
      <c r="G23" s="9" t="s">
        <v>47</v>
      </c>
      <c r="H23" s="9" t="s">
        <v>47</v>
      </c>
      <c r="I23" s="9" t="s">
        <v>47</v>
      </c>
      <c r="J23" s="9" t="s">
        <v>47</v>
      </c>
      <c r="K23" s="9" t="s">
        <v>47</v>
      </c>
      <c r="L23" s="9" t="s">
        <v>47</v>
      </c>
      <c r="M23" s="9" t="s">
        <v>47</v>
      </c>
      <c r="N23" s="9" t="s">
        <v>47</v>
      </c>
      <c r="O23" s="9" t="s">
        <v>47</v>
      </c>
      <c r="P23" s="9" t="s">
        <v>47</v>
      </c>
      <c r="S23" t="s">
        <v>60</v>
      </c>
      <c r="T23">
        <v>18</v>
      </c>
      <c r="U23" t="s">
        <v>61</v>
      </c>
      <c r="V23">
        <v>19</v>
      </c>
      <c r="W23">
        <v>3.8</v>
      </c>
      <c r="X23">
        <f t="shared" si="1"/>
        <v>992.80000000000007</v>
      </c>
    </row>
    <row r="24" spans="2:24" x14ac:dyDescent="0.2">
      <c r="B24" t="s">
        <v>10</v>
      </c>
      <c r="C24">
        <v>30</v>
      </c>
      <c r="D24" s="3">
        <f t="shared" si="0"/>
        <v>15.433332</v>
      </c>
      <c r="E24" s="9" t="s">
        <v>47</v>
      </c>
      <c r="F24" s="9" t="s">
        <v>47</v>
      </c>
      <c r="G24" s="9" t="s">
        <v>47</v>
      </c>
      <c r="H24" s="9" t="s">
        <v>47</v>
      </c>
      <c r="I24" s="9" t="s">
        <v>47</v>
      </c>
      <c r="J24" s="9" t="s">
        <v>44</v>
      </c>
      <c r="K24" s="9" t="s">
        <v>47</v>
      </c>
      <c r="L24" s="9" t="s">
        <v>47</v>
      </c>
      <c r="M24" s="9" t="s">
        <v>47</v>
      </c>
      <c r="N24" s="9" t="s">
        <v>47</v>
      </c>
      <c r="O24" s="9" t="s">
        <v>47</v>
      </c>
      <c r="P24" s="9" t="s">
        <v>47</v>
      </c>
      <c r="S24" t="s">
        <v>60</v>
      </c>
      <c r="T24">
        <v>19</v>
      </c>
      <c r="U24" t="s">
        <v>61</v>
      </c>
      <c r="V24">
        <v>20</v>
      </c>
      <c r="W24">
        <v>3.1</v>
      </c>
      <c r="X24">
        <f t="shared" si="1"/>
        <v>995.90000000000009</v>
      </c>
    </row>
    <row r="25" spans="2:24" x14ac:dyDescent="0.2">
      <c r="B25" s="1" t="s">
        <v>3</v>
      </c>
      <c r="C25">
        <v>40</v>
      </c>
      <c r="D25" s="3">
        <f t="shared" si="0"/>
        <v>20.577776</v>
      </c>
      <c r="E25" s="9" t="s">
        <v>47</v>
      </c>
      <c r="F25" s="9" t="s">
        <v>47</v>
      </c>
      <c r="G25" s="9" t="s">
        <v>47</v>
      </c>
      <c r="H25" s="9" t="s">
        <v>47</v>
      </c>
      <c r="I25" s="9" t="s">
        <v>47</v>
      </c>
      <c r="J25" s="9" t="s">
        <v>47</v>
      </c>
      <c r="K25" s="9" t="s">
        <v>47</v>
      </c>
      <c r="L25" s="9" t="s">
        <v>47</v>
      </c>
      <c r="M25" s="9" t="s">
        <v>47</v>
      </c>
      <c r="N25" s="9" t="s">
        <v>47</v>
      </c>
      <c r="O25" s="9" t="s">
        <v>47</v>
      </c>
      <c r="P25" s="9" t="s">
        <v>47</v>
      </c>
      <c r="S25" t="s">
        <v>60</v>
      </c>
      <c r="T25">
        <v>20</v>
      </c>
      <c r="U25" t="s">
        <v>61</v>
      </c>
      <c r="V25">
        <v>21</v>
      </c>
      <c r="W25">
        <v>1.4</v>
      </c>
      <c r="X25">
        <f t="shared" si="1"/>
        <v>997.30000000000007</v>
      </c>
    </row>
    <row r="26" spans="2:24" x14ac:dyDescent="0.2">
      <c r="S26" t="s">
        <v>60</v>
      </c>
      <c r="T26">
        <v>21</v>
      </c>
      <c r="U26" t="s">
        <v>61</v>
      </c>
      <c r="V26">
        <v>22</v>
      </c>
      <c r="W26">
        <v>1</v>
      </c>
      <c r="X26">
        <f t="shared" si="1"/>
        <v>998.30000000000007</v>
      </c>
    </row>
    <row r="27" spans="2:24" x14ac:dyDescent="0.2">
      <c r="B27" s="1"/>
      <c r="E27" s="5"/>
      <c r="F27" s="8" t="s">
        <v>59</v>
      </c>
      <c r="S27" t="s">
        <v>60</v>
      </c>
      <c r="T27">
        <v>22</v>
      </c>
      <c r="U27" t="s">
        <v>61</v>
      </c>
      <c r="V27">
        <v>23</v>
      </c>
      <c r="W27">
        <v>0.6</v>
      </c>
      <c r="X27">
        <f t="shared" si="1"/>
        <v>998.90000000000009</v>
      </c>
    </row>
    <row r="28" spans="2:24" x14ac:dyDescent="0.2">
      <c r="S28" t="s">
        <v>60</v>
      </c>
      <c r="T28">
        <v>23</v>
      </c>
      <c r="U28" t="s">
        <v>61</v>
      </c>
      <c r="V28">
        <v>24</v>
      </c>
      <c r="W28">
        <v>0.4</v>
      </c>
      <c r="X28">
        <f t="shared" si="1"/>
        <v>999.30000000000007</v>
      </c>
    </row>
    <row r="29" spans="2:24" x14ac:dyDescent="0.2">
      <c r="B29" s="1"/>
      <c r="S29" t="s">
        <v>60</v>
      </c>
      <c r="T29">
        <v>24</v>
      </c>
      <c r="U29" t="s">
        <v>61</v>
      </c>
      <c r="V29">
        <v>25</v>
      </c>
      <c r="W29">
        <v>0.2</v>
      </c>
      <c r="X29">
        <f t="shared" si="1"/>
        <v>999.50000000000011</v>
      </c>
    </row>
    <row r="30" spans="2:24" x14ac:dyDescent="0.2">
      <c r="S30" t="s">
        <v>60</v>
      </c>
      <c r="T30">
        <v>25</v>
      </c>
      <c r="U30" t="s">
        <v>61</v>
      </c>
      <c r="V30">
        <v>26</v>
      </c>
      <c r="W30">
        <v>0.1</v>
      </c>
      <c r="X30">
        <f t="shared" si="1"/>
        <v>999.60000000000014</v>
      </c>
    </row>
    <row r="31" spans="2:24" x14ac:dyDescent="0.2">
      <c r="S31" t="s">
        <v>60</v>
      </c>
      <c r="T31">
        <v>26</v>
      </c>
      <c r="U31" t="s">
        <v>61</v>
      </c>
      <c r="V31">
        <v>27</v>
      </c>
      <c r="W31">
        <v>0</v>
      </c>
      <c r="X31">
        <f t="shared" si="1"/>
        <v>999.60000000000014</v>
      </c>
    </row>
    <row r="32" spans="2:24" x14ac:dyDescent="0.2">
      <c r="S32" t="s">
        <v>60</v>
      </c>
      <c r="T32">
        <v>27</v>
      </c>
      <c r="U32" t="s">
        <v>61</v>
      </c>
      <c r="V32">
        <v>28</v>
      </c>
      <c r="W32">
        <v>0</v>
      </c>
      <c r="X32">
        <f t="shared" si="1"/>
        <v>999.60000000000014</v>
      </c>
    </row>
    <row r="33" spans="19:24" x14ac:dyDescent="0.2">
      <c r="S33" t="s">
        <v>60</v>
      </c>
      <c r="T33">
        <v>28</v>
      </c>
      <c r="U33" t="s">
        <v>61</v>
      </c>
      <c r="V33">
        <v>29</v>
      </c>
      <c r="W33">
        <v>0</v>
      </c>
      <c r="X33">
        <f t="shared" si="1"/>
        <v>999.60000000000014</v>
      </c>
    </row>
    <row r="34" spans="19:24" x14ac:dyDescent="0.2">
      <c r="S34" t="s">
        <v>60</v>
      </c>
      <c r="T34">
        <v>29</v>
      </c>
      <c r="U34" t="s">
        <v>61</v>
      </c>
      <c r="V34">
        <v>30</v>
      </c>
      <c r="W34">
        <v>0.1</v>
      </c>
      <c r="X34">
        <f t="shared" si="1"/>
        <v>999.70000000000016</v>
      </c>
    </row>
    <row r="35" spans="19:24" x14ac:dyDescent="0.2">
      <c r="S35" t="s">
        <v>60</v>
      </c>
      <c r="T35">
        <v>30</v>
      </c>
      <c r="U35" t="s">
        <v>61</v>
      </c>
      <c r="V35">
        <v>31</v>
      </c>
      <c r="W35">
        <v>0</v>
      </c>
      <c r="X35">
        <f t="shared" si="1"/>
        <v>999.70000000000016</v>
      </c>
    </row>
    <row r="36" spans="19:24" x14ac:dyDescent="0.2">
      <c r="S36" t="s">
        <v>60</v>
      </c>
      <c r="T36">
        <v>31</v>
      </c>
      <c r="U36" t="s">
        <v>61</v>
      </c>
      <c r="V36">
        <v>32</v>
      </c>
      <c r="W36">
        <v>0</v>
      </c>
      <c r="X36">
        <f t="shared" si="1"/>
        <v>999.70000000000016</v>
      </c>
    </row>
    <row r="37" spans="19:24" x14ac:dyDescent="0.2">
      <c r="S37" t="s">
        <v>60</v>
      </c>
      <c r="T37">
        <v>32</v>
      </c>
      <c r="U37" t="s">
        <v>61</v>
      </c>
      <c r="V37">
        <v>33</v>
      </c>
      <c r="W37">
        <v>0.1</v>
      </c>
      <c r="X37">
        <f t="shared" si="1"/>
        <v>999.80000000000018</v>
      </c>
    </row>
  </sheetData>
  <mergeCells count="1">
    <mergeCell ref="E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T27"/>
  <sheetViews>
    <sheetView zoomScale="115" zoomScaleNormal="115" workbookViewId="0">
      <selection activeCell="D21" sqref="D21"/>
    </sheetView>
  </sheetViews>
  <sheetFormatPr defaultRowHeight="12.75" x14ac:dyDescent="0.2"/>
  <cols>
    <col min="2" max="2" width="33" customWidth="1"/>
    <col min="3" max="3" width="10.7109375" customWidth="1"/>
    <col min="4" max="4" width="11.140625" bestFit="1" customWidth="1"/>
    <col min="5" max="9" width="9.140625" customWidth="1"/>
    <col min="11" max="11" width="9.140625" customWidth="1"/>
    <col min="17" max="17" width="11" bestFit="1" customWidth="1"/>
    <col min="19" max="19" width="10.28515625" bestFit="1" customWidth="1"/>
  </cols>
  <sheetData>
    <row r="2" spans="2:20" x14ac:dyDescent="0.2">
      <c r="B2" s="1" t="s">
        <v>48</v>
      </c>
    </row>
    <row r="3" spans="2:20" s="1" customFormat="1" x14ac:dyDescent="0.2">
      <c r="C3" s="1" t="s">
        <v>39</v>
      </c>
      <c r="E3" s="22" t="s">
        <v>40</v>
      </c>
      <c r="F3" s="22"/>
      <c r="G3" s="22" t="s">
        <v>41</v>
      </c>
      <c r="H3" s="22"/>
      <c r="I3" s="22" t="s">
        <v>26</v>
      </c>
      <c r="J3" s="22"/>
      <c r="K3" s="22" t="s">
        <v>42</v>
      </c>
      <c r="L3" s="22"/>
      <c r="M3" s="1" t="s">
        <v>43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</row>
    <row r="4" spans="2:20" x14ac:dyDescent="0.2"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2:20" x14ac:dyDescent="0.2">
      <c r="C5" t="s">
        <v>37</v>
      </c>
      <c r="D5" s="1" t="s">
        <v>37</v>
      </c>
    </row>
    <row r="6" spans="2:20" x14ac:dyDescent="0.2">
      <c r="C6" t="s">
        <v>38</v>
      </c>
      <c r="D6" s="1" t="s">
        <v>38</v>
      </c>
    </row>
    <row r="7" spans="2:20" x14ac:dyDescent="0.2">
      <c r="B7" s="1" t="s">
        <v>0</v>
      </c>
      <c r="C7" s="1">
        <v>3.1</v>
      </c>
      <c r="D7" s="1">
        <v>5.6</v>
      </c>
      <c r="E7" t="s">
        <v>49</v>
      </c>
      <c r="F7" s="5" t="s">
        <v>47</v>
      </c>
      <c r="G7" s="6" t="s">
        <v>51</v>
      </c>
      <c r="H7" s="5" t="s">
        <v>47</v>
      </c>
      <c r="I7" s="5" t="s">
        <v>51</v>
      </c>
      <c r="J7" s="5" t="s">
        <v>47</v>
      </c>
      <c r="K7" s="5"/>
      <c r="L7" s="5" t="s">
        <v>47</v>
      </c>
      <c r="M7" s="5" t="s">
        <v>44</v>
      </c>
      <c r="N7" s="5" t="s">
        <v>44</v>
      </c>
      <c r="O7" s="5" t="s">
        <v>47</v>
      </c>
      <c r="P7" s="5" t="s">
        <v>47</v>
      </c>
      <c r="Q7" s="5" t="s">
        <v>47</v>
      </c>
      <c r="R7" s="5" t="s">
        <v>47</v>
      </c>
      <c r="S7" s="5" t="s">
        <v>47</v>
      </c>
      <c r="T7" s="5" t="s">
        <v>47</v>
      </c>
    </row>
    <row r="8" spans="2:20" x14ac:dyDescent="0.2">
      <c r="B8" t="s">
        <v>5</v>
      </c>
      <c r="C8" s="1">
        <v>3.1</v>
      </c>
      <c r="D8" s="1">
        <v>5.6</v>
      </c>
      <c r="E8" t="s">
        <v>49</v>
      </c>
      <c r="F8" s="5" t="s">
        <v>47</v>
      </c>
      <c r="G8" s="6" t="s">
        <v>51</v>
      </c>
      <c r="H8" s="5" t="s">
        <v>47</v>
      </c>
      <c r="I8" s="5" t="s">
        <v>51</v>
      </c>
      <c r="J8" s="5" t="s">
        <v>47</v>
      </c>
      <c r="K8" s="5"/>
      <c r="L8" s="5" t="s">
        <v>47</v>
      </c>
      <c r="M8" s="5" t="s">
        <v>44</v>
      </c>
      <c r="N8" s="5" t="s">
        <v>44</v>
      </c>
      <c r="O8" s="5" t="s">
        <v>47</v>
      </c>
      <c r="P8" s="5" t="s">
        <v>47</v>
      </c>
      <c r="Q8" s="5" t="s">
        <v>47</v>
      </c>
      <c r="R8" s="5" t="s">
        <v>47</v>
      </c>
      <c r="S8" s="5" t="s">
        <v>47</v>
      </c>
      <c r="T8" s="5" t="s">
        <v>47</v>
      </c>
    </row>
    <row r="9" spans="2:20" x14ac:dyDescent="0.2">
      <c r="B9" t="s">
        <v>19</v>
      </c>
      <c r="C9" s="1">
        <v>3.1</v>
      </c>
      <c r="D9" s="1">
        <v>5.6</v>
      </c>
      <c r="E9" t="s">
        <v>49</v>
      </c>
      <c r="F9" s="5" t="s">
        <v>47</v>
      </c>
      <c r="G9" s="6" t="s">
        <v>51</v>
      </c>
      <c r="H9" s="5" t="s">
        <v>47</v>
      </c>
      <c r="I9" s="5" t="s">
        <v>51</v>
      </c>
      <c r="J9" s="5" t="s">
        <v>47</v>
      </c>
      <c r="K9" s="5"/>
      <c r="L9" s="5" t="s">
        <v>47</v>
      </c>
      <c r="M9" s="5" t="s">
        <v>44</v>
      </c>
      <c r="N9" s="5" t="s">
        <v>44</v>
      </c>
      <c r="O9" s="5" t="s">
        <v>47</v>
      </c>
      <c r="P9" s="5" t="s">
        <v>47</v>
      </c>
      <c r="Q9" s="5" t="s">
        <v>47</v>
      </c>
      <c r="R9" s="5" t="s">
        <v>47</v>
      </c>
      <c r="S9" s="5" t="s">
        <v>47</v>
      </c>
      <c r="T9" s="5" t="s">
        <v>47</v>
      </c>
    </row>
    <row r="10" spans="2:20" x14ac:dyDescent="0.2">
      <c r="B10" t="s">
        <v>20</v>
      </c>
      <c r="C10" s="1">
        <v>3.1</v>
      </c>
      <c r="D10" s="1">
        <v>5.6</v>
      </c>
      <c r="E10" t="s">
        <v>49</v>
      </c>
      <c r="F10" s="5" t="s">
        <v>47</v>
      </c>
      <c r="G10" s="6" t="s">
        <v>51</v>
      </c>
      <c r="H10" s="5" t="s">
        <v>47</v>
      </c>
      <c r="I10" s="5" t="s">
        <v>51</v>
      </c>
      <c r="J10" s="5" t="s">
        <v>47</v>
      </c>
      <c r="K10" s="5"/>
      <c r="L10" s="5" t="s">
        <v>47</v>
      </c>
      <c r="M10" s="5" t="s">
        <v>44</v>
      </c>
      <c r="N10" s="5" t="s">
        <v>44</v>
      </c>
      <c r="O10" s="5" t="s">
        <v>47</v>
      </c>
      <c r="P10" s="5" t="s">
        <v>47</v>
      </c>
      <c r="Q10" s="5" t="s">
        <v>47</v>
      </c>
      <c r="R10" s="5" t="s">
        <v>47</v>
      </c>
      <c r="S10" s="5" t="s">
        <v>47</v>
      </c>
      <c r="T10" s="5" t="s">
        <v>47</v>
      </c>
    </row>
    <row r="11" spans="2:20" x14ac:dyDescent="0.2">
      <c r="B11" s="1" t="s">
        <v>1</v>
      </c>
      <c r="C11" s="1">
        <v>1.9</v>
      </c>
      <c r="D11" s="1">
        <v>2.8</v>
      </c>
      <c r="E11" t="s">
        <v>50</v>
      </c>
      <c r="F11" s="5" t="s">
        <v>51</v>
      </c>
      <c r="G11" s="4" t="s">
        <v>50</v>
      </c>
      <c r="H11" s="5" t="s">
        <v>51</v>
      </c>
      <c r="I11" t="s">
        <v>52</v>
      </c>
      <c r="J11" s="7" t="s">
        <v>45</v>
      </c>
      <c r="K11" s="7"/>
      <c r="L11" s="7" t="s">
        <v>50</v>
      </c>
      <c r="M11" s="7" t="s">
        <v>50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45</v>
      </c>
      <c r="T11" s="7" t="s">
        <v>45</v>
      </c>
    </row>
    <row r="12" spans="2:20" x14ac:dyDescent="0.2">
      <c r="B12" t="s">
        <v>6</v>
      </c>
      <c r="C12" s="1">
        <v>1.9</v>
      </c>
      <c r="D12" s="1">
        <v>2.8</v>
      </c>
      <c r="E12" t="s">
        <v>50</v>
      </c>
      <c r="F12" s="5" t="s">
        <v>51</v>
      </c>
      <c r="G12" s="4" t="s">
        <v>50</v>
      </c>
      <c r="H12" s="5" t="s">
        <v>51</v>
      </c>
      <c r="I12" t="s">
        <v>52</v>
      </c>
      <c r="J12" s="7" t="s">
        <v>45</v>
      </c>
      <c r="K12" s="7"/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50</v>
      </c>
      <c r="Q12" s="7" t="s">
        <v>50</v>
      </c>
      <c r="R12" s="7" t="s">
        <v>50</v>
      </c>
      <c r="S12" s="7" t="s">
        <v>45</v>
      </c>
      <c r="T12" s="7" t="s">
        <v>45</v>
      </c>
    </row>
    <row r="13" spans="2:20" x14ac:dyDescent="0.2">
      <c r="B13" t="s">
        <v>7</v>
      </c>
      <c r="C13" s="1">
        <v>1.9</v>
      </c>
      <c r="D13" s="1">
        <v>2.8</v>
      </c>
      <c r="E13" t="s">
        <v>50</v>
      </c>
      <c r="F13" s="5" t="s">
        <v>51</v>
      </c>
      <c r="G13" s="4" t="s">
        <v>50</v>
      </c>
      <c r="H13" s="5" t="s">
        <v>51</v>
      </c>
      <c r="I13" t="s">
        <v>52</v>
      </c>
      <c r="J13" s="7" t="s">
        <v>45</v>
      </c>
      <c r="K13" s="7"/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50</v>
      </c>
      <c r="R13" s="7" t="s">
        <v>50</v>
      </c>
      <c r="S13" s="7" t="s">
        <v>45</v>
      </c>
      <c r="T13" s="7" t="s">
        <v>45</v>
      </c>
    </row>
    <row r="14" spans="2:20" x14ac:dyDescent="0.2">
      <c r="B14" t="s">
        <v>8</v>
      </c>
      <c r="C14" s="1">
        <v>1.9</v>
      </c>
      <c r="D14" s="1">
        <v>2.8</v>
      </c>
      <c r="E14" t="s">
        <v>50</v>
      </c>
      <c r="F14" s="5" t="s">
        <v>51</v>
      </c>
      <c r="G14" t="s">
        <v>50</v>
      </c>
      <c r="H14" s="5" t="s">
        <v>51</v>
      </c>
      <c r="I14" t="s">
        <v>52</v>
      </c>
      <c r="J14" s="7" t="s">
        <v>45</v>
      </c>
      <c r="K14" s="7"/>
      <c r="L14" s="7" t="s">
        <v>50</v>
      </c>
      <c r="M14" s="7" t="s">
        <v>50</v>
      </c>
      <c r="N14" s="7" t="s">
        <v>50</v>
      </c>
      <c r="O14" s="7" t="s">
        <v>50</v>
      </c>
      <c r="P14" s="7" t="s">
        <v>50</v>
      </c>
      <c r="Q14" s="7" t="s">
        <v>50</v>
      </c>
      <c r="R14" s="7" t="s">
        <v>50</v>
      </c>
      <c r="S14" s="7" t="s">
        <v>45</v>
      </c>
      <c r="T14" s="7" t="s">
        <v>45</v>
      </c>
    </row>
    <row r="15" spans="2:20" x14ac:dyDescent="0.2">
      <c r="B15" t="s">
        <v>9</v>
      </c>
      <c r="C15" s="1">
        <v>1.9</v>
      </c>
      <c r="D15" s="1">
        <v>2.8</v>
      </c>
      <c r="E15" t="s">
        <v>50</v>
      </c>
      <c r="F15" s="5" t="s">
        <v>51</v>
      </c>
      <c r="G15" t="s">
        <v>50</v>
      </c>
      <c r="H15" s="5" t="s">
        <v>51</v>
      </c>
      <c r="I15" t="s">
        <v>52</v>
      </c>
      <c r="J15" s="7" t="s">
        <v>45</v>
      </c>
      <c r="K15" s="7"/>
      <c r="L15" s="7" t="s">
        <v>50</v>
      </c>
      <c r="M15" s="7" t="s">
        <v>50</v>
      </c>
      <c r="N15" s="7" t="s">
        <v>50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45</v>
      </c>
      <c r="T15" s="7" t="s">
        <v>45</v>
      </c>
    </row>
    <row r="16" spans="2:20" x14ac:dyDescent="0.2">
      <c r="B16" t="s">
        <v>53</v>
      </c>
      <c r="C16" s="1">
        <v>1.9</v>
      </c>
      <c r="D16" s="1">
        <v>2.8</v>
      </c>
      <c r="E16" t="s">
        <v>50</v>
      </c>
      <c r="F16" s="5" t="s">
        <v>51</v>
      </c>
      <c r="G16" t="s">
        <v>50</v>
      </c>
      <c r="H16" s="5" t="s">
        <v>51</v>
      </c>
      <c r="I16" t="s">
        <v>52</v>
      </c>
      <c r="J16" s="7" t="s">
        <v>45</v>
      </c>
      <c r="K16" s="7"/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45</v>
      </c>
      <c r="T16" s="7" t="s">
        <v>45</v>
      </c>
    </row>
    <row r="17" spans="2:20" x14ac:dyDescent="0.2">
      <c r="B17" t="s">
        <v>16</v>
      </c>
      <c r="C17" s="1">
        <v>1.9</v>
      </c>
      <c r="D17" s="1">
        <v>2.8</v>
      </c>
      <c r="E17" t="s">
        <v>50</v>
      </c>
      <c r="F17" s="5" t="s">
        <v>51</v>
      </c>
      <c r="G17" t="s">
        <v>50</v>
      </c>
      <c r="H17" s="5" t="s">
        <v>51</v>
      </c>
      <c r="I17" t="s">
        <v>52</v>
      </c>
      <c r="J17" s="7" t="s">
        <v>45</v>
      </c>
      <c r="K17" s="7"/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50</v>
      </c>
      <c r="R17" s="7" t="s">
        <v>50</v>
      </c>
      <c r="S17" s="7" t="s">
        <v>45</v>
      </c>
      <c r="T17" s="7" t="s">
        <v>45</v>
      </c>
    </row>
    <row r="18" spans="2:20" x14ac:dyDescent="0.2">
      <c r="B18" t="s">
        <v>54</v>
      </c>
      <c r="C18" s="1">
        <v>1.9</v>
      </c>
      <c r="D18" s="1">
        <v>2.8</v>
      </c>
      <c r="E18" t="s">
        <v>50</v>
      </c>
      <c r="F18" s="5" t="s">
        <v>51</v>
      </c>
      <c r="G18" t="s">
        <v>50</v>
      </c>
      <c r="H18" s="5" t="s">
        <v>51</v>
      </c>
      <c r="I18" t="s">
        <v>52</v>
      </c>
      <c r="J18" s="7" t="s">
        <v>45</v>
      </c>
      <c r="K18" s="7"/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50</v>
      </c>
      <c r="R18" s="7" t="s">
        <v>50</v>
      </c>
      <c r="S18" s="7" t="s">
        <v>45</v>
      </c>
      <c r="T18" s="7" t="s">
        <v>45</v>
      </c>
    </row>
    <row r="19" spans="2:20" x14ac:dyDescent="0.2">
      <c r="B19" s="1" t="s">
        <v>2</v>
      </c>
      <c r="C19" s="1">
        <v>1.8</v>
      </c>
      <c r="D19" s="1">
        <v>6.8</v>
      </c>
      <c r="E19" t="s">
        <v>50</v>
      </c>
      <c r="F19" s="5" t="s">
        <v>47</v>
      </c>
      <c r="G19" t="s">
        <v>50</v>
      </c>
      <c r="H19" s="5" t="s">
        <v>47</v>
      </c>
      <c r="I19" t="s">
        <v>52</v>
      </c>
      <c r="J19" s="5" t="s">
        <v>47</v>
      </c>
      <c r="K19" s="5"/>
      <c r="L19" s="5" t="s">
        <v>47</v>
      </c>
      <c r="M19" s="5" t="s">
        <v>47</v>
      </c>
      <c r="N19" s="5" t="s">
        <v>47</v>
      </c>
      <c r="O19" s="5" t="s">
        <v>47</v>
      </c>
      <c r="P19" s="5" t="s">
        <v>47</v>
      </c>
      <c r="Q19" s="5" t="s">
        <v>47</v>
      </c>
      <c r="R19" s="5" t="s">
        <v>47</v>
      </c>
      <c r="S19" s="5" t="s">
        <v>47</v>
      </c>
      <c r="T19" s="5" t="s">
        <v>47</v>
      </c>
    </row>
    <row r="20" spans="2:20" x14ac:dyDescent="0.2">
      <c r="B20" t="s">
        <v>10</v>
      </c>
      <c r="C20" s="1">
        <v>1.8</v>
      </c>
      <c r="D20" s="1">
        <v>6.8</v>
      </c>
      <c r="E20" t="s">
        <v>50</v>
      </c>
      <c r="F20" s="5" t="s">
        <v>47</v>
      </c>
      <c r="G20" t="s">
        <v>50</v>
      </c>
      <c r="H20" s="5" t="s">
        <v>47</v>
      </c>
      <c r="I20" t="s">
        <v>52</v>
      </c>
      <c r="J20" s="5" t="s">
        <v>47</v>
      </c>
      <c r="K20" s="5"/>
      <c r="L20" s="5" t="s">
        <v>47</v>
      </c>
      <c r="M20" s="5" t="s">
        <v>47</v>
      </c>
      <c r="N20" s="5" t="s">
        <v>47</v>
      </c>
      <c r="O20" s="5" t="s">
        <v>47</v>
      </c>
      <c r="P20" s="5" t="s">
        <v>47</v>
      </c>
      <c r="Q20" s="5" t="s">
        <v>47</v>
      </c>
      <c r="R20" s="5" t="s">
        <v>47</v>
      </c>
      <c r="S20" s="5" t="s">
        <v>47</v>
      </c>
      <c r="T20" s="5" t="s">
        <v>47</v>
      </c>
    </row>
    <row r="21" spans="2:20" x14ac:dyDescent="0.2">
      <c r="B21" s="1" t="s">
        <v>3</v>
      </c>
      <c r="C21" s="1">
        <v>9.8000000000000007</v>
      </c>
      <c r="D21" s="1">
        <v>18.399999999999999</v>
      </c>
      <c r="E21" t="s">
        <v>47</v>
      </c>
      <c r="F21" s="5" t="s">
        <v>46</v>
      </c>
      <c r="G21" t="s">
        <v>47</v>
      </c>
      <c r="H21" s="5" t="s">
        <v>46</v>
      </c>
      <c r="I21" t="s">
        <v>47</v>
      </c>
      <c r="J21" s="5" t="s">
        <v>46</v>
      </c>
      <c r="K21" s="5"/>
      <c r="L21" s="5" t="s">
        <v>46</v>
      </c>
      <c r="M21" s="5" t="s">
        <v>46</v>
      </c>
      <c r="N21" s="5" t="s">
        <v>46</v>
      </c>
      <c r="O21" s="5" t="s">
        <v>46</v>
      </c>
      <c r="P21" s="5" t="s">
        <v>46</v>
      </c>
      <c r="Q21" s="5" t="s">
        <v>46</v>
      </c>
      <c r="R21" s="5" t="s">
        <v>46</v>
      </c>
      <c r="S21" s="5" t="s">
        <v>46</v>
      </c>
      <c r="T21" s="5" t="s">
        <v>46</v>
      </c>
    </row>
    <row r="23" spans="2:20" x14ac:dyDescent="0.2">
      <c r="D23" s="5"/>
      <c r="F23" s="8" t="s">
        <v>55</v>
      </c>
    </row>
    <row r="24" spans="2:20" x14ac:dyDescent="0.2">
      <c r="D24" s="7"/>
      <c r="F24" s="8" t="s">
        <v>56</v>
      </c>
    </row>
    <row r="26" spans="2:20" x14ac:dyDescent="0.2">
      <c r="B26" t="s">
        <v>57</v>
      </c>
    </row>
    <row r="27" spans="2:20" x14ac:dyDescent="0.2">
      <c r="B27" t="s">
        <v>58</v>
      </c>
    </row>
  </sheetData>
  <mergeCells count="4">
    <mergeCell ref="E3:F3"/>
    <mergeCell ref="G3:H3"/>
    <mergeCell ref="I3:J3"/>
    <mergeCell ref="K3:L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Wind-siteE</vt:lpstr>
      <vt:lpstr>Wind-siteF</vt:lpstr>
      <vt:lpstr>Wave height-siteE</vt:lpstr>
      <vt:lpstr>Wave height-siteF</vt:lpstr>
      <vt:lpstr>Wind</vt:lpstr>
      <vt:lpstr>Wave height</vt:lpstr>
    </vt:vector>
  </TitlesOfParts>
  <Company>Noble Drilling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Cosmin Bozenovici</dc:creator>
  <cp:lastModifiedBy>Owner</cp:lastModifiedBy>
  <dcterms:created xsi:type="dcterms:W3CDTF">2014-03-27T14:19:50Z</dcterms:created>
  <dcterms:modified xsi:type="dcterms:W3CDTF">2016-11-11T22:01:01Z</dcterms:modified>
</cp:coreProperties>
</file>